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cwsystemsintegration.sharepoint.com/sites/ExternalSharing/Shared Documents/Marketing/Rebrand 2025/Marketing Strategy Docs/"/>
    </mc:Choice>
  </mc:AlternateContent>
  <xr:revisionPtr revIDLastSave="0" documentId="8_{8B2F6E40-2B71-480B-9F09-FD505D83D49B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Annual Budget Overview" sheetId="1" r:id="rId1"/>
    <sheet name="Spend Tracker" sheetId="5" r:id="rId2"/>
    <sheet name="TEST IGNOR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5" l="1"/>
  <c r="B86" i="5"/>
  <c r="B85" i="5"/>
  <c r="B50" i="5"/>
  <c r="B51" i="5"/>
  <c r="B26" i="5"/>
  <c r="B27" i="5"/>
  <c r="B28" i="5"/>
  <c r="B29" i="5"/>
  <c r="B30" i="5"/>
  <c r="B31" i="5"/>
  <c r="B32" i="5"/>
  <c r="B33" i="5"/>
  <c r="B20" i="5"/>
  <c r="B21" i="5"/>
  <c r="B22" i="5"/>
  <c r="B23" i="5"/>
  <c r="B24" i="5"/>
  <c r="B25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F5" i="1" s="1"/>
  <c r="B19" i="5"/>
  <c r="B3" i="5"/>
  <c r="B84" i="5"/>
  <c r="B83" i="5"/>
  <c r="B82" i="5"/>
  <c r="B81" i="5"/>
  <c r="B80" i="5"/>
  <c r="B79" i="5"/>
  <c r="B77" i="5"/>
  <c r="B75" i="5"/>
  <c r="B76" i="5"/>
  <c r="B72" i="5"/>
  <c r="B60" i="5"/>
  <c r="B53" i="5"/>
  <c r="B49" i="5"/>
  <c r="B48" i="5"/>
  <c r="B47" i="5"/>
  <c r="B46" i="5"/>
  <c r="B45" i="5"/>
  <c r="B44" i="5"/>
  <c r="B42" i="5"/>
  <c r="B41" i="5"/>
  <c r="B40" i="5"/>
  <c r="B38" i="5"/>
  <c r="B37" i="5"/>
  <c r="B34" i="5"/>
  <c r="B89" i="5"/>
  <c r="B88" i="5"/>
  <c r="B90" i="5"/>
  <c r="B4" i="5"/>
  <c r="B35" i="5"/>
  <c r="B39" i="5"/>
  <c r="B36" i="5"/>
  <c r="B43" i="5"/>
  <c r="B63" i="5"/>
  <c r="B68" i="5"/>
  <c r="B69" i="5"/>
  <c r="B52" i="5"/>
  <c r="B65" i="5"/>
  <c r="B66" i="5"/>
  <c r="B74" i="5"/>
  <c r="B70" i="5"/>
  <c r="B54" i="5"/>
  <c r="B55" i="5"/>
  <c r="B56" i="5"/>
  <c r="B57" i="5"/>
  <c r="B58" i="5"/>
  <c r="B59" i="5"/>
  <c r="B61" i="5"/>
  <c r="B62" i="5"/>
  <c r="B64" i="5"/>
  <c r="B67" i="5"/>
  <c r="B71" i="5"/>
  <c r="B73" i="5"/>
  <c r="B78" i="5"/>
  <c r="C3" i="1"/>
  <c r="I3" i="1"/>
  <c r="H3" i="1"/>
  <c r="G3" i="1"/>
  <c r="F3" i="1"/>
  <c r="D3" i="1"/>
  <c r="D4" i="1"/>
  <c r="D5" i="1"/>
  <c r="D6" i="1"/>
  <c r="D7" i="1"/>
  <c r="D8" i="1"/>
  <c r="D9" i="1"/>
  <c r="D10" i="1"/>
  <c r="D11" i="1"/>
  <c r="D12" i="1"/>
  <c r="C4" i="1"/>
  <c r="C5" i="1"/>
  <c r="C6" i="1"/>
  <c r="C7" i="1"/>
  <c r="C8" i="1"/>
  <c r="C9" i="1"/>
  <c r="C10" i="1"/>
  <c r="C11" i="1"/>
  <c r="C12" i="1"/>
  <c r="B13" i="1"/>
  <c r="I11" i="1"/>
  <c r="G8" i="1"/>
  <c r="G11" i="3"/>
  <c r="G2" i="3"/>
  <c r="G3" i="3"/>
  <c r="G4" i="3"/>
  <c r="G5" i="3"/>
  <c r="G6" i="3"/>
  <c r="G7" i="3"/>
  <c r="H10" i="1" l="1"/>
  <c r="G7" i="1"/>
  <c r="I4" i="1"/>
  <c r="F6" i="1"/>
  <c r="I12" i="1"/>
  <c r="H9" i="1"/>
  <c r="F12" i="1"/>
  <c r="F4" i="1"/>
  <c r="G6" i="1"/>
  <c r="H8" i="1"/>
  <c r="I10" i="1"/>
  <c r="F11" i="1"/>
  <c r="G5" i="1"/>
  <c r="H7" i="1"/>
  <c r="I9" i="1"/>
  <c r="F10" i="1"/>
  <c r="G12" i="1"/>
  <c r="G4" i="1"/>
  <c r="H6" i="1"/>
  <c r="I8" i="1"/>
  <c r="F9" i="1"/>
  <c r="G11" i="1"/>
  <c r="H5" i="1"/>
  <c r="I7" i="1"/>
  <c r="F8" i="1"/>
  <c r="G10" i="1"/>
  <c r="H12" i="1"/>
  <c r="H4" i="1"/>
  <c r="I6" i="1"/>
  <c r="F7" i="1"/>
  <c r="G9" i="1"/>
  <c r="H11" i="1"/>
  <c r="I5" i="1"/>
  <c r="E3" i="1"/>
  <c r="E10" i="1"/>
  <c r="D13" i="1"/>
  <c r="E5" i="1"/>
  <c r="E8" i="1"/>
  <c r="E11" i="1"/>
  <c r="E12" i="1"/>
  <c r="E7" i="1"/>
  <c r="E9" i="1"/>
  <c r="G8" i="3"/>
  <c r="H13" i="1" l="1"/>
  <c r="I13" i="1"/>
  <c r="E6" i="1"/>
  <c r="C13" i="1"/>
  <c r="E4" i="1"/>
  <c r="F13" i="1"/>
  <c r="G13" i="1"/>
  <c r="E13" i="1" l="1"/>
</calcChain>
</file>

<file path=xl/sharedStrings.xml><?xml version="1.0" encoding="utf-8"?>
<sst xmlns="http://schemas.openxmlformats.org/spreadsheetml/2006/main" count="608" uniqueCount="101">
  <si>
    <t>📊 Annual Budget Overview 2026</t>
  </si>
  <si>
    <t>Category</t>
  </si>
  <si>
    <t>Budget</t>
  </si>
  <si>
    <t>Committed</t>
  </si>
  <si>
    <t xml:space="preserve">Actual </t>
  </si>
  <si>
    <t>Remaing</t>
  </si>
  <si>
    <t>Q1 2026</t>
  </si>
  <si>
    <t>Q2 2026</t>
  </si>
  <si>
    <t>Q3 2026</t>
  </si>
  <si>
    <t>Q4 2026</t>
  </si>
  <si>
    <t>Content &amp; Thought Leadership</t>
  </si>
  <si>
    <t>Paid Media</t>
  </si>
  <si>
    <t>PR</t>
  </si>
  <si>
    <t>Tools &amp; Martech</t>
  </si>
  <si>
    <t>Agency / External</t>
  </si>
  <si>
    <t>Event (Owned)</t>
  </si>
  <si>
    <t>Event (Earned)</t>
  </si>
  <si>
    <t>MDF</t>
  </si>
  <si>
    <t>Translation</t>
  </si>
  <si>
    <t>Other</t>
  </si>
  <si>
    <t>Totals</t>
  </si>
  <si>
    <t xml:space="preserve"> </t>
  </si>
  <si>
    <t>🧾 Spend Tracker</t>
  </si>
  <si>
    <t>Date</t>
  </si>
  <si>
    <t>Quarter</t>
  </si>
  <si>
    <t>Budget Line</t>
  </si>
  <si>
    <t>Primary Audience</t>
  </si>
  <si>
    <t>Market</t>
  </si>
  <si>
    <t>Status</t>
  </si>
  <si>
    <t>Owner</t>
  </si>
  <si>
    <r>
      <t>Cost (</t>
    </r>
    <r>
      <rPr>
        <sz val="11"/>
        <color theme="1"/>
        <rFont val="Calibri (Body)"/>
      </rPr>
      <t>€</t>
    </r>
    <r>
      <rPr>
        <sz val="11"/>
        <color theme="1"/>
        <rFont val="Calibri"/>
        <family val="2"/>
        <scheme val="minor"/>
      </rPr>
      <t>)</t>
    </r>
  </si>
  <si>
    <t>Notes</t>
  </si>
  <si>
    <t>Prospects / Partners / Clients</t>
  </si>
  <si>
    <t>NL</t>
  </si>
  <si>
    <t>Spent</t>
  </si>
  <si>
    <t>Agency</t>
  </si>
  <si>
    <t>SEO optimisation</t>
  </si>
  <si>
    <t>Current Clients / Prospects</t>
  </si>
  <si>
    <t>ALL</t>
  </si>
  <si>
    <t>Monthly invoice AI system build out &amp; deployment</t>
  </si>
  <si>
    <t>Prospects</t>
  </si>
  <si>
    <t xml:space="preserve">SoPro </t>
  </si>
  <si>
    <t>Marketing</t>
  </si>
  <si>
    <t>GoTo Webinar</t>
  </si>
  <si>
    <t>Internal</t>
  </si>
  <si>
    <t>Office signage rebrand</t>
  </si>
  <si>
    <t>Retainer Fluro</t>
  </si>
  <si>
    <t>Balloon for Microsoft fiming</t>
  </si>
  <si>
    <t xml:space="preserve">ChatGPT license </t>
  </si>
  <si>
    <t>Marketing executive support</t>
  </si>
  <si>
    <t>SMA</t>
  </si>
  <si>
    <t>Outreach license</t>
  </si>
  <si>
    <t>Correction rebrand related costs</t>
  </si>
  <si>
    <t>PR piece rebrand</t>
  </si>
  <si>
    <t>UK &amp; IE</t>
  </si>
  <si>
    <t>Sales</t>
  </si>
  <si>
    <t>Apollo license</t>
  </si>
  <si>
    <t>Canva subscription</t>
  </si>
  <si>
    <t>Fractional CMO support  January</t>
  </si>
  <si>
    <t>Branded notebooks</t>
  </si>
  <si>
    <t>BELUX</t>
  </si>
  <si>
    <t>Booth Cybersec</t>
  </si>
  <si>
    <t>UK</t>
  </si>
  <si>
    <t>Event support Microsoft</t>
  </si>
  <si>
    <t>Gravity Forms</t>
  </si>
  <si>
    <t>Banners office rebrand</t>
  </si>
  <si>
    <t>Vimeo license</t>
  </si>
  <si>
    <t>Board front door office rebrand</t>
  </si>
  <si>
    <t>Fractional CMO support February</t>
  </si>
  <si>
    <t>Fractional CMO support March</t>
  </si>
  <si>
    <t>Sponsorship VIVAT! Jumping</t>
  </si>
  <si>
    <t>LinkedIn ads campaign Protect Data, Power AI event</t>
  </si>
  <si>
    <t>Sponsorship BLCC</t>
  </si>
  <si>
    <t>Photobooth CWSI @ the movies (paid with Samsung MDF)</t>
  </si>
  <si>
    <t>Beachflags CWSI @ the movies (paid wih Samsung MDF)</t>
  </si>
  <si>
    <t>Stand branding Cybersec</t>
  </si>
  <si>
    <t>Branded screensprays Cybersec</t>
  </si>
  <si>
    <t xml:space="preserve">Caterging Protect Data, Power AI event </t>
  </si>
  <si>
    <t>Current Clients</t>
  </si>
  <si>
    <t>Thank you gift TLT testimonial</t>
  </si>
  <si>
    <t>Branded tote bags Cybersec</t>
  </si>
  <si>
    <t xml:space="preserve">Champagne cups &amp; counter poster display Cybersec </t>
  </si>
  <si>
    <t>Fluro project management</t>
  </si>
  <si>
    <t>Fractional CMO support April</t>
  </si>
  <si>
    <t xml:space="preserve">Translation Agent 365 landing page </t>
  </si>
  <si>
    <t>Paid campaign support Paddington event</t>
  </si>
  <si>
    <t>Videographer TLT case study</t>
  </si>
  <si>
    <t>Marketing dashboard</t>
  </si>
  <si>
    <t>Project management video testimonial TLT</t>
  </si>
  <si>
    <t>Lunch Cybersec</t>
  </si>
  <si>
    <t>Parking Cybersec</t>
  </si>
  <si>
    <t>Brand &amp; Awareness</t>
  </si>
  <si>
    <t>Demand Generation</t>
  </si>
  <si>
    <t>Sales Enablement</t>
  </si>
  <si>
    <t>Supplier</t>
  </si>
  <si>
    <t>Description/Campaign</t>
  </si>
  <si>
    <t>Region</t>
  </si>
  <si>
    <t>Cost (£)</t>
  </si>
  <si>
    <t>01.01.26</t>
  </si>
  <si>
    <t>linkedin</t>
  </si>
  <si>
    <t>Q1 Content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</si>
</sst>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\€\ #,##0.00"/>
    <numFmt numFmtId="166" formatCode="dd\-mm\-yyyy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sz val="11"/>
      <color theme="1"/>
      <name val="Calibri (Body)"/>
    </font>
    <font>
      <b/>
      <sz val="11"/>
      <color rgb="FF12334F"/>
      <name val="Aptos"/>
    </font>
    <font>
      <sz val="11"/>
      <color rgb="FF12334F"/>
      <name val="Aptos"/>
    </font>
    <font>
      <sz val="11"/>
      <color rgb="FF12334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BD"/>
        <bgColor indexed="64"/>
      </patternFill>
    </fill>
    <fill>
      <patternFill patternType="solid">
        <fgColor rgb="FF6FADE3"/>
        <bgColor indexed="64"/>
      </patternFill>
    </fill>
    <fill>
      <patternFill patternType="solid">
        <fgColor rgb="FFD9E9F5"/>
        <bgColor indexed="64"/>
      </patternFill>
    </fill>
  </fills>
  <borders count="16">
    <border>
      <left/>
      <right/>
      <top/>
      <bottom/>
      <diagonal/>
    </border>
    <border>
      <left style="thin">
        <color rgb="FFC9D7E6"/>
      </left>
      <right style="thin">
        <color rgb="FFC9D7E6"/>
      </right>
      <top style="thin">
        <color rgb="FFC9D7E6"/>
      </top>
      <bottom style="thin">
        <color rgb="FFC9D7E6"/>
      </bottom>
      <diagonal/>
    </border>
    <border>
      <left style="thin">
        <color rgb="FFC9D7E6"/>
      </left>
      <right/>
      <top style="thin">
        <color rgb="FFC9D7E6"/>
      </top>
      <bottom style="thin">
        <color rgb="FFC9D7E6"/>
      </bottom>
      <diagonal/>
    </border>
    <border>
      <left style="thin">
        <color rgb="FFC9D7E6"/>
      </left>
      <right/>
      <top style="thin">
        <color rgb="FFC9D7E6"/>
      </top>
      <bottom/>
      <diagonal/>
    </border>
    <border>
      <left style="thin">
        <color rgb="FFC9D7E6"/>
      </left>
      <right/>
      <top/>
      <bottom/>
      <diagonal/>
    </border>
    <border>
      <left style="thin">
        <color rgb="FFC9D7E6"/>
      </left>
      <right style="thin">
        <color rgb="FFC9D7E6"/>
      </right>
      <top style="thin">
        <color rgb="FFC9D7E6"/>
      </top>
      <bottom/>
      <diagonal/>
    </border>
    <border>
      <left style="thin">
        <color rgb="FFC9D7E6"/>
      </left>
      <right style="thin">
        <color rgb="FFC9D7E6"/>
      </right>
      <top/>
      <bottom/>
      <diagonal/>
    </border>
    <border>
      <left style="thin">
        <color rgb="FFD0D7E2"/>
      </left>
      <right/>
      <top style="thin">
        <color rgb="FFD0D7E2"/>
      </top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/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/>
      <bottom style="thin">
        <color rgb="FFD0D7E2"/>
      </bottom>
      <diagonal/>
    </border>
    <border>
      <left style="thin">
        <color rgb="FFD0D7E2"/>
      </left>
      <right style="thin">
        <color rgb="FFD0D7E2"/>
      </right>
      <top/>
      <bottom style="thin">
        <color rgb="FFD0D7E2"/>
      </bottom>
      <diagonal/>
    </border>
    <border>
      <left style="thin">
        <color rgb="FFD0D7E2"/>
      </left>
      <right/>
      <top/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14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0" fontId="7" fillId="2" borderId="3" xfId="0" applyFont="1" applyFill="1" applyBorder="1"/>
    <xf numFmtId="164" fontId="7" fillId="2" borderId="3" xfId="0" applyNumberFormat="1" applyFont="1" applyFill="1" applyBorder="1"/>
    <xf numFmtId="164" fontId="7" fillId="2" borderId="3" xfId="1" applyNumberFormat="1" applyFont="1" applyFill="1" applyBorder="1"/>
    <xf numFmtId="164" fontId="7" fillId="2" borderId="5" xfId="0" applyNumberFormat="1" applyFont="1" applyFill="1" applyBorder="1"/>
    <xf numFmtId="0" fontId="7" fillId="2" borderId="2" xfId="0" applyFont="1" applyFill="1" applyBorder="1"/>
    <xf numFmtId="164" fontId="7" fillId="2" borderId="2" xfId="0" applyNumberFormat="1" applyFont="1" applyFill="1" applyBorder="1"/>
    <xf numFmtId="164" fontId="7" fillId="2" borderId="2" xfId="1" applyNumberFormat="1" applyFont="1" applyFill="1" applyBorder="1"/>
    <xf numFmtId="164" fontId="7" fillId="2" borderId="1" xfId="0" applyNumberFormat="1" applyFont="1" applyFill="1" applyBorder="1"/>
    <xf numFmtId="0" fontId="7" fillId="2" borderId="0" xfId="0" applyFont="1" applyFill="1"/>
    <xf numFmtId="164" fontId="7" fillId="2" borderId="0" xfId="0" applyNumberFormat="1" applyFont="1" applyFill="1"/>
    <xf numFmtId="164" fontId="7" fillId="2" borderId="0" xfId="1" applyNumberFormat="1" applyFont="1" applyFill="1" applyBorder="1"/>
    <xf numFmtId="0" fontId="7" fillId="2" borderId="4" xfId="0" applyFont="1" applyFill="1" applyBorder="1"/>
    <xf numFmtId="164" fontId="7" fillId="2" borderId="4" xfId="0" applyNumberFormat="1" applyFont="1" applyFill="1" applyBorder="1"/>
    <xf numFmtId="164" fontId="7" fillId="2" borderId="4" xfId="1" applyNumberFormat="1" applyFont="1" applyFill="1" applyBorder="1"/>
    <xf numFmtId="164" fontId="7" fillId="2" borderId="6" xfId="0" applyNumberFormat="1" applyFont="1" applyFill="1" applyBorder="1"/>
    <xf numFmtId="0" fontId="6" fillId="4" borderId="8" xfId="0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4" borderId="8" xfId="1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7" fillId="2" borderId="0" xfId="0" applyFont="1" applyFill="1" applyAlignment="1">
      <alignment wrapText="1"/>
    </xf>
    <xf numFmtId="14" fontId="6" fillId="4" borderId="10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4" fontId="6" fillId="4" borderId="11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14" fontId="7" fillId="2" borderId="0" xfId="0" applyNumberFormat="1" applyFont="1" applyFill="1"/>
    <xf numFmtId="0" fontId="7" fillId="5" borderId="8" xfId="0" applyFont="1" applyFill="1" applyBorder="1" applyAlignment="1">
      <alignment horizontal="left" vertical="center"/>
    </xf>
    <xf numFmtId="165" fontId="6" fillId="4" borderId="8" xfId="0" applyNumberFormat="1" applyFont="1" applyFill="1" applyBorder="1" applyAlignment="1">
      <alignment horizontal="center" vertical="center"/>
    </xf>
    <xf numFmtId="165" fontId="6" fillId="4" borderId="8" xfId="1" applyNumberFormat="1" applyFont="1" applyFill="1" applyBorder="1" applyAlignment="1">
      <alignment horizontal="center" vertical="center"/>
    </xf>
    <xf numFmtId="165" fontId="7" fillId="2" borderId="8" xfId="0" applyNumberFormat="1" applyFont="1" applyFill="1" applyBorder="1" applyAlignment="1">
      <alignment horizontal="center" vertical="center"/>
    </xf>
    <xf numFmtId="165" fontId="7" fillId="2" borderId="8" xfId="1" applyNumberFormat="1" applyFont="1" applyFill="1" applyBorder="1" applyAlignment="1">
      <alignment horizontal="center" vertical="center"/>
    </xf>
    <xf numFmtId="165" fontId="7" fillId="5" borderId="8" xfId="0" applyNumberFormat="1" applyFont="1" applyFill="1" applyBorder="1" applyAlignment="1">
      <alignment horizontal="center" vertical="center"/>
    </xf>
    <xf numFmtId="165" fontId="7" fillId="5" borderId="8" xfId="1" applyNumberFormat="1" applyFont="1" applyFill="1" applyBorder="1" applyAlignment="1">
      <alignment horizontal="center" vertical="center"/>
    </xf>
    <xf numFmtId="166" fontId="7" fillId="0" borderId="13" xfId="0" applyNumberFormat="1" applyFont="1" applyBorder="1"/>
    <xf numFmtId="0" fontId="7" fillId="0" borderId="8" xfId="0" applyFont="1" applyBorder="1"/>
    <xf numFmtId="165" fontId="7" fillId="0" borderId="8" xfId="0" applyNumberFormat="1" applyFont="1" applyBorder="1" applyAlignment="1">
      <alignment horizontal="right"/>
    </xf>
    <xf numFmtId="0" fontId="7" fillId="0" borderId="9" xfId="0" applyFont="1" applyBorder="1" applyAlignment="1">
      <alignment wrapText="1"/>
    </xf>
    <xf numFmtId="166" fontId="7" fillId="0" borderId="14" xfId="0" applyNumberFormat="1" applyFont="1" applyBorder="1"/>
    <xf numFmtId="0" fontId="7" fillId="0" borderId="15" xfId="0" applyFont="1" applyBorder="1"/>
    <xf numFmtId="165" fontId="7" fillId="0" borderId="15" xfId="0" applyNumberFormat="1" applyFont="1" applyBorder="1" applyAlignment="1">
      <alignment horizontal="right"/>
    </xf>
    <xf numFmtId="0" fontId="7" fillId="0" borderId="7" xfId="0" applyFont="1" applyBorder="1" applyAlignment="1">
      <alignment wrapText="1"/>
    </xf>
    <xf numFmtId="166" fontId="8" fillId="0" borderId="14" xfId="0" applyNumberFormat="1" applyFont="1" applyBorder="1"/>
    <xf numFmtId="0" fontId="8" fillId="0" borderId="15" xfId="0" applyFont="1" applyBorder="1"/>
    <xf numFmtId="165" fontId="8" fillId="0" borderId="15" xfId="0" applyNumberFormat="1" applyFont="1" applyBorder="1" applyAlignment="1">
      <alignment horizontal="right"/>
    </xf>
    <xf numFmtId="0" fontId="8" fillId="0" borderId="7" xfId="0" applyFont="1" applyBorder="1" applyAlignment="1">
      <alignment wrapText="1"/>
    </xf>
    <xf numFmtId="166" fontId="8" fillId="2" borderId="13" xfId="0" applyNumberFormat="1" applyFont="1" applyFill="1" applyBorder="1"/>
    <xf numFmtId="0" fontId="8" fillId="2" borderId="8" xfId="0" applyFont="1" applyFill="1" applyBorder="1"/>
    <xf numFmtId="165" fontId="8" fillId="2" borderId="8" xfId="0" applyNumberFormat="1" applyFont="1" applyFill="1" applyBorder="1" applyAlignment="1">
      <alignment horizontal="right"/>
    </xf>
    <xf numFmtId="0" fontId="8" fillId="2" borderId="9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1" diagonalDown="0">
        <left style="thin">
          <color rgb="FFD0D7E2"/>
        </left>
        <right/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numFmt numFmtId="165" formatCode="\€\ #,##0.00"/>
      <fill>
        <patternFill patternType="solid">
          <fgColor indexed="64"/>
          <bgColor rgb="FFFFFFFF"/>
        </patternFill>
      </fill>
      <alignment horizontal="right"/>
      <border diagonalUp="1" diagonalDown="0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  <border diagonalUp="1" diagonalDown="0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  <border diagonalUp="1" diagonalDown="0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  <border diagonalUp="1" diagonalDown="0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  <border diagonalUp="1" diagonalDown="0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  <border diagonalUp="1" diagonalDown="0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  <border diagonalUp="1" diagonalDown="0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numFmt numFmtId="166" formatCode="dd\-mm\-yyyy"/>
      <fill>
        <patternFill patternType="solid">
          <fgColor indexed="64"/>
          <bgColor rgb="FFFFFFFF"/>
        </patternFill>
      </fill>
      <border diagonalUp="1" diagonalDown="0">
        <left/>
        <right style="thin">
          <color rgb="FFD0D7E2"/>
        </right>
        <top style="thin">
          <color rgb="FFD0D7E2"/>
        </top>
        <bottom style="thin">
          <color rgb="FFD0D7E2"/>
        </bottom>
        <diagonal/>
        <vertical style="thin">
          <color rgb="FFD0D7E2"/>
        </vertical>
        <horizontal style="thin">
          <color rgb="FFD0D7E2"/>
        </horizontal>
      </border>
    </dxf>
    <dxf>
      <border>
        <top style="thin">
          <color rgb="FFD0D7E2"/>
        </top>
      </border>
    </dxf>
    <dxf>
      <border>
        <bottom style="thin">
          <color rgb="FFD0D7E2"/>
        </bottom>
      </border>
    </dxf>
    <dxf>
      <border diagonalUp="1" diagonalDown="1">
        <left style="thin">
          <color rgb="FFD0D7E2"/>
        </left>
        <right style="thin">
          <color rgb="FFD0D7E2"/>
        </right>
        <top style="thin">
          <color rgb="FFD0D7E2"/>
        </top>
        <bottom style="thin">
          <color rgb="FFD0D7E2"/>
        </bottom>
        <diagon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2334F"/>
        <name val="Aptos"/>
        <scheme val="minor"/>
      </font>
      <fill>
        <patternFill patternType="solid">
          <fgColor indexed="64"/>
          <bgColor rgb="FF6FADE3"/>
        </patternFill>
      </fill>
      <alignment horizontal="center" vertical="center" textRotation="0" wrapText="0" indent="0" justifyLastLine="0" shrinkToFit="0" readingOrder="0"/>
      <border diagonalUp="1" diagonalDown="1">
        <left style="thin">
          <color rgb="FFD0D7E2"/>
        </left>
        <right style="thin">
          <color rgb="FFD0D7E2"/>
        </right>
        <top/>
        <bottom/>
        <diagonal/>
        <vertical style="thin">
          <color rgb="FFD0D7E2"/>
        </vertical>
        <horizontal style="thin">
          <color rgb="FFD0D7E2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DEC2A-C936-8C46-9CF8-D3A4B079C4AA}" name="SpendTracker" displayName="SpendTracker" ref="A2:I90" totalsRowShown="0" headerRowDxfId="13" dataDxfId="12" headerRowBorderDxfId="10" tableBorderDxfId="11" totalsRowBorderDxfId="9">
  <autoFilter ref="A2:I90" xr:uid="{24BDEC2A-C936-8C46-9CF8-D3A4B079C4AA}"/>
  <sortState xmlns:xlrd2="http://schemas.microsoft.com/office/spreadsheetml/2017/richdata2" ref="A3:I90">
    <sortCondition ref="A2:A90"/>
  </sortState>
  <tableColumns count="9">
    <tableColumn id="1" xr3:uid="{0F3BFDF8-2526-F64F-B4B1-FCA22B58BD79}" name="Date" dataDxfId="8"/>
    <tableColumn id="2" xr3:uid="{C96F28A8-FA02-5640-B7E6-DF88664E000E}" name="Quarter" dataDxfId="7">
      <calculatedColumnFormula>"Q"&amp;ROUNDUP(MONTH(A3)/3,0)&amp;" "&amp;YEAR(A3)</calculatedColumnFormula>
    </tableColumn>
    <tableColumn id="3" xr3:uid="{E7A553D2-E895-5845-89B5-FD0C2C7967A8}" name="Budget Line" dataDxfId="6"/>
    <tableColumn id="4" xr3:uid="{FFC54222-A42C-F448-BDB1-92CE6A194953}" name="Primary Audience" dataDxfId="5"/>
    <tableColumn id="5" xr3:uid="{CA4C574B-6D1B-D548-8D3E-10297ABD843D}" name="Market" dataDxfId="4"/>
    <tableColumn id="6" xr3:uid="{7F9C532B-0E4A-8245-B6D3-9BD77A184856}" name="Status" dataDxfId="3"/>
    <tableColumn id="7" xr3:uid="{C27046D1-5E1C-D249-A72F-6B99D4C00399}" name="Owner" dataDxfId="2"/>
    <tableColumn id="8" xr3:uid="{C5095BD3-7992-6B40-A70C-20FAEAA61A56}" name="Cost (€)" dataDxfId="1"/>
    <tableColumn id="9" xr3:uid="{B16CA924-BDB7-7A46-860C-A99451695574}" name="Notes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zoomScale="144" workbookViewId="0">
      <pane xSplit="1" ySplit="2" topLeftCell="C3" activePane="bottomRight" state="frozen"/>
      <selection pane="bottomRight" activeCell="G17" sqref="G17"/>
      <selection pane="bottomLeft" activeCell="A3" sqref="A3"/>
      <selection pane="topRight" activeCell="B1" sqref="B1"/>
    </sheetView>
  </sheetViews>
  <sheetFormatPr defaultColWidth="8.85546875" defaultRowHeight="15"/>
  <cols>
    <col min="1" max="1" width="48.28515625" customWidth="1"/>
    <col min="2" max="2" width="20.85546875" style="4" customWidth="1"/>
    <col min="3" max="5" width="20.85546875" style="5" customWidth="1"/>
    <col min="6" max="9" width="20.85546875" style="4" customWidth="1"/>
  </cols>
  <sheetData>
    <row r="1" spans="1:9" ht="32.1" customHeight="1">
      <c r="A1" s="55" t="s">
        <v>0</v>
      </c>
      <c r="B1" s="55"/>
      <c r="C1" s="55"/>
      <c r="D1" s="55"/>
      <c r="E1" s="55"/>
      <c r="F1" s="55"/>
      <c r="G1" s="55"/>
      <c r="H1" s="55"/>
      <c r="I1" s="56"/>
    </row>
    <row r="2" spans="1:9" s="1" customFormat="1" ht="24.95" customHeight="1">
      <c r="A2" s="22" t="s">
        <v>1</v>
      </c>
      <c r="B2" s="23" t="s">
        <v>2</v>
      </c>
      <c r="C2" s="24" t="s">
        <v>3</v>
      </c>
      <c r="D2" s="24" t="s">
        <v>4</v>
      </c>
      <c r="E2" s="24" t="s">
        <v>5</v>
      </c>
      <c r="F2" s="23" t="s">
        <v>6</v>
      </c>
      <c r="G2" s="23" t="s">
        <v>7</v>
      </c>
      <c r="H2" s="23" t="s">
        <v>8</v>
      </c>
      <c r="I2" s="23" t="s">
        <v>9</v>
      </c>
    </row>
    <row r="3" spans="1:9" ht="15" customHeight="1">
      <c r="A3" s="25" t="s">
        <v>10</v>
      </c>
      <c r="B3" s="35">
        <v>25000</v>
      </c>
      <c r="C3" s="36">
        <f>SUMIFS('Spend Tracker'!H:H,'Spend Tracker'!C:C,$A3,'Spend Tracker'!F:F,"Committed")</f>
        <v>0</v>
      </c>
      <c r="D3" s="36">
        <f>SUMIFS('Spend Tracker'!H:H,'Spend Tracker'!C:C,$A3,'Spend Tracker'!F:F,"Spent")</f>
        <v>0</v>
      </c>
      <c r="E3" s="36">
        <f t="shared" ref="E3:E12" si="0">B3-C3-D3</f>
        <v>25000</v>
      </c>
      <c r="F3" s="35">
        <f>SUMIFS('Spend Tracker'!H:H,'Spend Tracker'!C:C,$A3,'Spend Tracker'!F:F,"Spent",'Spend Tracker'!B:B,F$2)</f>
        <v>0</v>
      </c>
      <c r="G3" s="35">
        <f>SUMIFS('Spend Tracker'!H:H,'Spend Tracker'!C:C,$A3,'Spend Tracker'!F:F,"Spent",'Spend Tracker'!B:B,G$2)</f>
        <v>0</v>
      </c>
      <c r="H3" s="35">
        <f>SUMIFS('Spend Tracker'!H:H,'Spend Tracker'!C:C,$A3,'Spend Tracker'!F:F,"Spent",'Spend Tracker'!B:B,H$2)</f>
        <v>0</v>
      </c>
      <c r="I3" s="35">
        <f>SUMIFS('Spend Tracker'!H:H,'Spend Tracker'!C:C,$A3,'Spend Tracker'!F:F,"Spent",'Spend Tracker'!B:B,I$2)</f>
        <v>0</v>
      </c>
    </row>
    <row r="4" spans="1:9" ht="15" customHeight="1">
      <c r="A4" s="32" t="s">
        <v>11</v>
      </c>
      <c r="B4" s="37">
        <v>57000</v>
      </c>
      <c r="C4" s="38">
        <f>SUMIFS('Spend Tracker'!H:H,'Spend Tracker'!C:C,$A4,'Spend Tracker'!F:F,"Committed")</f>
        <v>0</v>
      </c>
      <c r="D4" s="38">
        <f>SUMIFS('Spend Tracker'!H:H,'Spend Tracker'!C:C,$A4,'Spend Tracker'!F:F,"Spent")</f>
        <v>1690.9900000000002</v>
      </c>
      <c r="E4" s="38">
        <f t="shared" si="0"/>
        <v>55309.01</v>
      </c>
      <c r="F4" s="37">
        <f>SUMIFS('Spend Tracker'!H:H,'Spend Tracker'!C:C,$A4,'Spend Tracker'!F:F,"Spent",'Spend Tracker'!B:B,F$2)</f>
        <v>0</v>
      </c>
      <c r="G4" s="37">
        <f>SUMIFS('Spend Tracker'!H:H,'Spend Tracker'!C:C,$A4,'Spend Tracker'!F:F,"Spent",'Spend Tracker'!B:B,G$2)</f>
        <v>1690.9900000000002</v>
      </c>
      <c r="H4" s="37">
        <f>SUMIFS('Spend Tracker'!H:H,'Spend Tracker'!C:C,$A4,'Spend Tracker'!F:F,"Spent",'Spend Tracker'!B:B,H$2)</f>
        <v>0</v>
      </c>
      <c r="I4" s="37">
        <f>SUMIFS('Spend Tracker'!H:H,'Spend Tracker'!C:C,$A4,'Spend Tracker'!F:F,"Spent",'Spend Tracker'!B:B,I$2)</f>
        <v>0</v>
      </c>
    </row>
    <row r="5" spans="1:9" ht="15" customHeight="1">
      <c r="A5" s="25" t="s">
        <v>12</v>
      </c>
      <c r="B5" s="35">
        <v>25000</v>
      </c>
      <c r="C5" s="36">
        <f>SUMIFS('Spend Tracker'!H:H,'Spend Tracker'!C:C,$A5,'Spend Tracker'!F:F,"Committed")</f>
        <v>0</v>
      </c>
      <c r="D5" s="36">
        <f>SUMIFS('Spend Tracker'!H:H,'Spend Tracker'!C:C,$A5,'Spend Tracker'!F:F,"Spent")</f>
        <v>650</v>
      </c>
      <c r="E5" s="36">
        <f t="shared" si="0"/>
        <v>24350</v>
      </c>
      <c r="F5" s="35">
        <f>SUMIFS('Spend Tracker'!H:H,'Spend Tracker'!C:C,$A5,'Spend Tracker'!F:F,"Spent",'Spend Tracker'!B:B,F$2)</f>
        <v>650</v>
      </c>
      <c r="G5" s="35">
        <f>SUMIFS('Spend Tracker'!H:H,'Spend Tracker'!C:C,$A5,'Spend Tracker'!F:F,"Spent",'Spend Tracker'!B:B,G$2)</f>
        <v>0</v>
      </c>
      <c r="H5" s="35">
        <f>SUMIFS('Spend Tracker'!H:H,'Spend Tracker'!C:C,$A5,'Spend Tracker'!F:F,"Spent",'Spend Tracker'!B:B,H$2)</f>
        <v>0</v>
      </c>
      <c r="I5" s="35">
        <f>SUMIFS('Spend Tracker'!H:H,'Spend Tracker'!C:C,$A5,'Spend Tracker'!F:F,"Spent",'Spend Tracker'!B:B,I$2)</f>
        <v>0</v>
      </c>
    </row>
    <row r="6" spans="1:9" ht="15" customHeight="1">
      <c r="A6" s="32" t="s">
        <v>13</v>
      </c>
      <c r="B6" s="37">
        <v>20000</v>
      </c>
      <c r="C6" s="38">
        <f>SUMIFS('Spend Tracker'!H:H,'Spend Tracker'!C:C,$A6,'Spend Tracker'!F:F,"Committed")</f>
        <v>0</v>
      </c>
      <c r="D6" s="38">
        <f>SUMIFS('Spend Tracker'!H:H,'Spend Tracker'!C:C,$A6,'Spend Tracker'!F:F,"Spent")</f>
        <v>5489.72</v>
      </c>
      <c r="E6" s="38">
        <f t="shared" si="0"/>
        <v>14510.279999999999</v>
      </c>
      <c r="F6" s="37">
        <f>SUMIFS('Spend Tracker'!H:H,'Spend Tracker'!C:C,$A6,'Spend Tracker'!F:F,"Spent",'Spend Tracker'!B:B,F$2)</f>
        <v>4010.5699999999997</v>
      </c>
      <c r="G6" s="37">
        <f>SUMIFS('Spend Tracker'!H:H,'Spend Tracker'!C:C,$A6,'Spend Tracker'!F:F,"Spent",'Spend Tracker'!B:B,G$2)</f>
        <v>1479.1499999999999</v>
      </c>
      <c r="H6" s="37">
        <f>SUMIFS('Spend Tracker'!H:H,'Spend Tracker'!C:C,$A6,'Spend Tracker'!F:F,"Spent",'Spend Tracker'!B:B,H$2)</f>
        <v>0</v>
      </c>
      <c r="I6" s="37">
        <f>SUMIFS('Spend Tracker'!H:H,'Spend Tracker'!C:C,$A6,'Spend Tracker'!F:F,"Spent",'Spend Tracker'!B:B,I$2)</f>
        <v>0</v>
      </c>
    </row>
    <row r="7" spans="1:9" ht="15" customHeight="1">
      <c r="A7" s="25" t="s">
        <v>14</v>
      </c>
      <c r="B7" s="35">
        <v>120000</v>
      </c>
      <c r="C7" s="36">
        <f>SUMIFS('Spend Tracker'!H:H,'Spend Tracker'!C:C,$A7,'Spend Tracker'!F:F,"Committed")</f>
        <v>0</v>
      </c>
      <c r="D7" s="36">
        <f>SUMIFS('Spend Tracker'!H:H,'Spend Tracker'!C:C,$A7,'Spend Tracker'!F:F,"Spent")</f>
        <v>69728.539999999994</v>
      </c>
      <c r="E7" s="36">
        <f t="shared" si="0"/>
        <v>50271.460000000006</v>
      </c>
      <c r="F7" s="35">
        <f>SUMIFS('Spend Tracker'!H:H,'Spend Tracker'!C:C,$A7,'Spend Tracker'!F:F,"Spent",'Spend Tracker'!B:B,F$2)</f>
        <v>38797.369999999995</v>
      </c>
      <c r="G7" s="35">
        <f>SUMIFS('Spend Tracker'!H:H,'Spend Tracker'!C:C,$A7,'Spend Tracker'!F:F,"Spent",'Spend Tracker'!B:B,G$2)</f>
        <v>30931.17</v>
      </c>
      <c r="H7" s="35">
        <f>SUMIFS('Spend Tracker'!H:H,'Spend Tracker'!C:C,$A7,'Spend Tracker'!F:F,"Spent",'Spend Tracker'!B:B,H$2)</f>
        <v>0</v>
      </c>
      <c r="I7" s="35">
        <f>SUMIFS('Spend Tracker'!H:H,'Spend Tracker'!C:C,$A7,'Spend Tracker'!F:F,"Spent",'Spend Tracker'!B:B,I$2)</f>
        <v>0</v>
      </c>
    </row>
    <row r="8" spans="1:9" ht="15" customHeight="1">
      <c r="A8" s="32" t="s">
        <v>15</v>
      </c>
      <c r="B8" s="37">
        <v>50000</v>
      </c>
      <c r="C8" s="38">
        <f>SUMIFS('Spend Tracker'!H:H,'Spend Tracker'!C:C,$A8,'Spend Tracker'!F:F,"Committed")</f>
        <v>0</v>
      </c>
      <c r="D8" s="38">
        <f>SUMIFS('Spend Tracker'!H:H,'Spend Tracker'!C:C,$A8,'Spend Tracker'!F:F,"Spent")</f>
        <v>1902.74</v>
      </c>
      <c r="E8" s="38">
        <f t="shared" si="0"/>
        <v>48097.26</v>
      </c>
      <c r="F8" s="37">
        <f>SUMIFS('Spend Tracker'!H:H,'Spend Tracker'!C:C,$A8,'Spend Tracker'!F:F,"Spent",'Spend Tracker'!B:B,F$2)</f>
        <v>320.97000000000003</v>
      </c>
      <c r="G8" s="37">
        <f>SUMIFS('Spend Tracker'!H:H,'Spend Tracker'!C:C,$A8,'Spend Tracker'!F:F,"Spent",'Spend Tracker'!B:B,G$2)</f>
        <v>1581.77</v>
      </c>
      <c r="H8" s="37">
        <f>SUMIFS('Spend Tracker'!H:H,'Spend Tracker'!C:C,$A8,'Spend Tracker'!F:F,"Spent",'Spend Tracker'!B:B,H$2)</f>
        <v>0</v>
      </c>
      <c r="I8" s="37">
        <f>SUMIFS('Spend Tracker'!H:H,'Spend Tracker'!C:C,$A8,'Spend Tracker'!F:F,"Spent",'Spend Tracker'!B:B,I$2)</f>
        <v>0</v>
      </c>
    </row>
    <row r="9" spans="1:9" ht="15" customHeight="1">
      <c r="A9" s="25" t="s">
        <v>16</v>
      </c>
      <c r="B9" s="35">
        <v>50000</v>
      </c>
      <c r="C9" s="36">
        <f>SUMIFS('Spend Tracker'!H:H,'Spend Tracker'!C:C,$A9,'Spend Tracker'!F:F,"Committed")</f>
        <v>0</v>
      </c>
      <c r="D9" s="36">
        <f>SUMIFS('Spend Tracker'!H:H,'Spend Tracker'!C:C,$A9,'Spend Tracker'!F:F,"Spent")</f>
        <v>12984.03</v>
      </c>
      <c r="E9" s="36">
        <f t="shared" si="0"/>
        <v>37015.97</v>
      </c>
      <c r="F9" s="35">
        <f>SUMIFS('Spend Tracker'!H:H,'Spend Tracker'!C:C,$A9,'Spend Tracker'!F:F,"Spent",'Spend Tracker'!B:B,F$2)</f>
        <v>6650</v>
      </c>
      <c r="G9" s="35">
        <f>SUMIFS('Spend Tracker'!H:H,'Spend Tracker'!C:C,$A9,'Spend Tracker'!F:F,"Spent",'Spend Tracker'!B:B,G$2)</f>
        <v>6334.03</v>
      </c>
      <c r="H9" s="35">
        <f>SUMIFS('Spend Tracker'!H:H,'Spend Tracker'!C:C,$A9,'Spend Tracker'!F:F,"Spent",'Spend Tracker'!B:B,H$2)</f>
        <v>0</v>
      </c>
      <c r="I9" s="35">
        <f>SUMIFS('Spend Tracker'!H:H,'Spend Tracker'!C:C,$A9,'Spend Tracker'!F:F,"Spent",'Spend Tracker'!B:B,I$2)</f>
        <v>0</v>
      </c>
    </row>
    <row r="10" spans="1:9" ht="15" customHeight="1">
      <c r="A10" s="32" t="s">
        <v>17</v>
      </c>
      <c r="B10" s="37">
        <v>60863.92</v>
      </c>
      <c r="C10" s="38">
        <f>SUMIFS('Spend Tracker'!H:H,'Spend Tracker'!C:C,$A10,'Spend Tracker'!F:F,"Committed")</f>
        <v>0</v>
      </c>
      <c r="D10" s="38">
        <f>SUMIFS('Spend Tracker'!H:H,'Spend Tracker'!C:C,$A10,'Spend Tracker'!F:F,"Spent")</f>
        <v>574.55999999999995</v>
      </c>
      <c r="E10" s="38">
        <f t="shared" si="0"/>
        <v>60289.36</v>
      </c>
      <c r="F10" s="37">
        <f>SUMIFS('Spend Tracker'!H:H,'Spend Tracker'!C:C,$A10,'Spend Tracker'!F:F,"Spent",'Spend Tracker'!B:B,F$2)</f>
        <v>0</v>
      </c>
      <c r="G10" s="37">
        <f>SUMIFS('Spend Tracker'!H:H,'Spend Tracker'!C:C,$A10,'Spend Tracker'!F:F,"Spent",'Spend Tracker'!B:B,G$2)</f>
        <v>574.55999999999995</v>
      </c>
      <c r="H10" s="37">
        <f>SUMIFS('Spend Tracker'!H:H,'Spend Tracker'!C:C,$A10,'Spend Tracker'!F:F,"Spent",'Spend Tracker'!B:B,H$2)</f>
        <v>0</v>
      </c>
      <c r="I10" s="37">
        <f>SUMIFS('Spend Tracker'!H:H,'Spend Tracker'!C:C,$A10,'Spend Tracker'!F:F,"Spent",'Spend Tracker'!B:B,I$2)</f>
        <v>0</v>
      </c>
    </row>
    <row r="11" spans="1:9" ht="15" customHeight="1">
      <c r="A11" s="25" t="s">
        <v>18</v>
      </c>
      <c r="B11" s="35">
        <v>8000</v>
      </c>
      <c r="C11" s="36">
        <f>SUMIFS('Spend Tracker'!H:H,'Spend Tracker'!C:C,$A11,'Spend Tracker'!F:F,"Committed")</f>
        <v>0</v>
      </c>
      <c r="D11" s="36">
        <f>SUMIFS('Spend Tracker'!H:H,'Spend Tracker'!C:C,$A11,'Spend Tracker'!F:F,"Spent")</f>
        <v>167.19</v>
      </c>
      <c r="E11" s="36">
        <f t="shared" si="0"/>
        <v>7832.81</v>
      </c>
      <c r="F11" s="35">
        <f>SUMIFS('Spend Tracker'!H:H,'Spend Tracker'!C:C,$A11,'Spend Tracker'!F:F,"Spent",'Spend Tracker'!B:B,F$2)</f>
        <v>0</v>
      </c>
      <c r="G11" s="35">
        <f>SUMIFS('Spend Tracker'!H:H,'Spend Tracker'!C:C,$A11,'Spend Tracker'!F:F,"Spent",'Spend Tracker'!B:B,G$2)</f>
        <v>167.19</v>
      </c>
      <c r="H11" s="35">
        <f>SUMIFS('Spend Tracker'!H:H,'Spend Tracker'!C:C,$A11,'Spend Tracker'!F:F,"Spent",'Spend Tracker'!B:B,H$2)</f>
        <v>0</v>
      </c>
      <c r="I11" s="35">
        <f>SUMIFS('Spend Tracker'!H:H,'Spend Tracker'!C:C,$A11,'Spend Tracker'!F:F,"Spent",'Spend Tracker'!B:B,I$2)</f>
        <v>0</v>
      </c>
    </row>
    <row r="12" spans="1:9" ht="15" customHeight="1">
      <c r="A12" s="32" t="s">
        <v>19</v>
      </c>
      <c r="B12" s="37">
        <v>25000</v>
      </c>
      <c r="C12" s="38">
        <f>SUMIFS('Spend Tracker'!H:H,'Spend Tracker'!C:C,$A12,'Spend Tracker'!F:F,"Committed")</f>
        <v>0</v>
      </c>
      <c r="D12" s="38">
        <f>SUMIFS('Spend Tracker'!H:H,'Spend Tracker'!C:C,$A12,'Spend Tracker'!F:F,"Spent")</f>
        <v>5631.6200000000008</v>
      </c>
      <c r="E12" s="38">
        <f t="shared" si="0"/>
        <v>19368.379999999997</v>
      </c>
      <c r="F12" s="37">
        <f>SUMIFS('Spend Tracker'!H:H,'Spend Tracker'!C:C,$A12,'Spend Tracker'!F:F,"Spent",'Spend Tracker'!B:B,F$2)</f>
        <v>2566.5300000000002</v>
      </c>
      <c r="G12" s="37">
        <f>SUMIFS('Spend Tracker'!H:H,'Spend Tracker'!C:C,$A12,'Spend Tracker'!F:F,"Spent",'Spend Tracker'!B:B,G$2)</f>
        <v>3065.09</v>
      </c>
      <c r="H12" s="37">
        <f>SUMIFS('Spend Tracker'!H:H,'Spend Tracker'!C:C,$A12,'Spend Tracker'!F:F,"Spent",'Spend Tracker'!B:B,H$2)</f>
        <v>0</v>
      </c>
      <c r="I12" s="37">
        <f>SUMIFS('Spend Tracker'!H:H,'Spend Tracker'!C:C,$A12,'Spend Tracker'!F:F,"Spent",'Spend Tracker'!B:B,I$2)</f>
        <v>0</v>
      </c>
    </row>
    <row r="13" spans="1:9" s="1" customFormat="1" ht="24.95" customHeight="1">
      <c r="A13" s="22" t="s">
        <v>20</v>
      </c>
      <c r="B13" s="33">
        <f t="shared" ref="B13:I13" si="1">SUM(B3:B12)</f>
        <v>440863.92</v>
      </c>
      <c r="C13" s="34">
        <f t="shared" si="1"/>
        <v>0</v>
      </c>
      <c r="D13" s="34">
        <f t="shared" si="1"/>
        <v>98819.39</v>
      </c>
      <c r="E13" s="34">
        <f t="shared" si="1"/>
        <v>342044.53</v>
      </c>
      <c r="F13" s="33">
        <f t="shared" si="1"/>
        <v>52995.439999999995</v>
      </c>
      <c r="G13" s="33">
        <f t="shared" si="1"/>
        <v>45823.95</v>
      </c>
      <c r="H13" s="33">
        <f t="shared" si="1"/>
        <v>0</v>
      </c>
      <c r="I13" s="33">
        <f t="shared" si="1"/>
        <v>0</v>
      </c>
    </row>
    <row r="14" spans="1:9">
      <c r="A14" s="18"/>
      <c r="B14" s="19"/>
      <c r="C14" s="20"/>
      <c r="D14" s="20"/>
      <c r="E14" s="20"/>
      <c r="F14" s="19"/>
      <c r="G14" s="19"/>
      <c r="H14" s="19"/>
      <c r="I14" s="21"/>
    </row>
    <row r="15" spans="1:9">
      <c r="A15" s="7"/>
      <c r="B15" s="8"/>
      <c r="C15" s="9"/>
      <c r="D15" s="9"/>
      <c r="E15" s="9"/>
      <c r="F15" s="8"/>
      <c r="G15" s="8"/>
      <c r="H15" s="8"/>
      <c r="I15" s="10"/>
    </row>
    <row r="16" spans="1:9">
      <c r="A16" s="7"/>
      <c r="B16" s="8"/>
      <c r="C16" s="9"/>
      <c r="D16" s="9"/>
      <c r="E16" s="9"/>
      <c r="F16" s="8"/>
      <c r="G16" s="8"/>
      <c r="H16" s="8"/>
      <c r="I16" s="10"/>
    </row>
    <row r="17" spans="1:9">
      <c r="A17" s="11" t="s">
        <v>21</v>
      </c>
      <c r="B17" s="12"/>
      <c r="C17" s="13"/>
      <c r="D17" s="13"/>
      <c r="E17" s="13"/>
      <c r="F17" s="12"/>
      <c r="G17" s="12"/>
      <c r="H17" s="12"/>
      <c r="I17" s="14"/>
    </row>
    <row r="18" spans="1:9">
      <c r="A18" s="15"/>
      <c r="B18" s="16"/>
      <c r="C18" s="17"/>
      <c r="D18" s="17"/>
      <c r="E18" s="17"/>
      <c r="F18" s="16"/>
      <c r="G18" s="16"/>
      <c r="H18" s="16"/>
      <c r="I18" s="16"/>
    </row>
    <row r="19" spans="1:9">
      <c r="A19" s="15"/>
      <c r="B19" s="16"/>
      <c r="C19" s="17"/>
      <c r="D19" s="17"/>
      <c r="E19" s="17"/>
      <c r="F19" s="16"/>
      <c r="G19" s="16"/>
      <c r="H19" s="16"/>
      <c r="I19" s="16"/>
    </row>
    <row r="20" spans="1:9">
      <c r="A20" s="15"/>
      <c r="B20" s="16"/>
      <c r="C20" s="17"/>
      <c r="D20" s="17"/>
      <c r="E20" s="17"/>
      <c r="F20" s="16"/>
      <c r="G20" s="16"/>
      <c r="H20" s="16"/>
      <c r="I20" s="16"/>
    </row>
    <row r="21" spans="1:9">
      <c r="A21" s="15"/>
      <c r="B21" s="16"/>
      <c r="C21" s="17"/>
      <c r="D21" s="17"/>
      <c r="E21" s="17"/>
      <c r="F21" s="16"/>
      <c r="G21" s="16"/>
      <c r="H21" s="16"/>
      <c r="I21" s="16"/>
    </row>
    <row r="22" spans="1:9">
      <c r="A22" s="15"/>
      <c r="B22" s="16"/>
      <c r="C22" s="17"/>
      <c r="D22" s="17"/>
      <c r="E22" s="17"/>
      <c r="F22" s="16"/>
      <c r="G22" s="16"/>
      <c r="H22" s="16"/>
      <c r="I22" s="16"/>
    </row>
    <row r="23" spans="1:9">
      <c r="A23" s="15"/>
      <c r="B23" s="16"/>
      <c r="C23" s="17"/>
      <c r="D23" s="17"/>
      <c r="E23" s="17"/>
      <c r="F23" s="16"/>
      <c r="G23" s="16"/>
      <c r="H23" s="16"/>
      <c r="I23" s="16"/>
    </row>
    <row r="24" spans="1:9">
      <c r="A24" s="15"/>
      <c r="B24" s="16"/>
      <c r="C24" s="17"/>
      <c r="D24" s="17"/>
      <c r="E24" s="17"/>
      <c r="F24" s="16"/>
      <c r="G24" s="16"/>
      <c r="H24" s="16"/>
      <c r="I24" s="16"/>
    </row>
    <row r="25" spans="1:9">
      <c r="A25" s="15"/>
      <c r="B25" s="16"/>
      <c r="C25" s="17"/>
      <c r="D25" s="17"/>
      <c r="E25" s="17"/>
      <c r="F25" s="16"/>
      <c r="G25" s="16"/>
      <c r="H25" s="16"/>
      <c r="I25" s="16"/>
    </row>
    <row r="26" spans="1:9">
      <c r="A26" s="15"/>
      <c r="B26" s="16"/>
      <c r="C26" s="17"/>
      <c r="D26" s="17"/>
      <c r="E26" s="17"/>
      <c r="F26" s="16"/>
      <c r="G26" s="16"/>
      <c r="H26" s="16"/>
      <c r="I26" s="16"/>
    </row>
    <row r="27" spans="1:9">
      <c r="A27" s="15"/>
      <c r="B27" s="16"/>
      <c r="C27" s="17"/>
      <c r="D27" s="17"/>
      <c r="E27" s="17"/>
      <c r="F27" s="16"/>
      <c r="G27" s="16"/>
      <c r="H27" s="16"/>
      <c r="I27" s="16"/>
    </row>
    <row r="28" spans="1:9">
      <c r="A28" s="15"/>
      <c r="B28" s="16"/>
      <c r="C28" s="17"/>
      <c r="D28" s="17"/>
      <c r="E28" s="17"/>
      <c r="F28" s="16"/>
      <c r="G28" s="16"/>
      <c r="H28" s="16"/>
      <c r="I28" s="16"/>
    </row>
    <row r="29" spans="1:9">
      <c r="A29" s="15"/>
      <c r="B29" s="16"/>
      <c r="C29" s="17"/>
      <c r="D29" s="17"/>
      <c r="E29" s="17"/>
      <c r="F29" s="16"/>
      <c r="G29" s="16"/>
      <c r="H29" s="16"/>
      <c r="I29" s="16"/>
    </row>
    <row r="30" spans="1:9">
      <c r="A30" s="15"/>
      <c r="B30" s="16"/>
      <c r="C30" s="17"/>
      <c r="D30" s="17"/>
      <c r="E30" s="17"/>
      <c r="F30" s="16"/>
      <c r="G30" s="16"/>
      <c r="H30" s="16"/>
      <c r="I30" s="16"/>
    </row>
    <row r="31" spans="1:9">
      <c r="A31" s="15"/>
      <c r="B31" s="16"/>
      <c r="C31" s="17"/>
      <c r="D31" s="17"/>
      <c r="E31" s="17"/>
      <c r="F31" s="16"/>
      <c r="G31" s="16"/>
      <c r="H31" s="16"/>
      <c r="I31" s="16"/>
    </row>
    <row r="32" spans="1:9">
      <c r="A32" s="15"/>
      <c r="B32" s="16"/>
      <c r="C32" s="17"/>
      <c r="D32" s="17"/>
      <c r="E32" s="17"/>
      <c r="F32" s="16"/>
      <c r="G32" s="16"/>
      <c r="H32" s="16"/>
      <c r="I32" s="16"/>
    </row>
    <row r="33" spans="1:9">
      <c r="A33" s="15"/>
      <c r="B33" s="16"/>
      <c r="C33" s="17"/>
      <c r="D33" s="17"/>
      <c r="E33" s="17"/>
      <c r="F33" s="16"/>
      <c r="G33" s="16"/>
      <c r="H33" s="16"/>
      <c r="I33" s="16"/>
    </row>
    <row r="34" spans="1:9">
      <c r="A34" s="15"/>
      <c r="B34" s="16"/>
      <c r="C34" s="17"/>
      <c r="D34" s="17"/>
      <c r="E34" s="17"/>
      <c r="F34" s="16"/>
      <c r="G34" s="16"/>
      <c r="H34" s="16"/>
      <c r="I34" s="16"/>
    </row>
    <row r="35" spans="1:9">
      <c r="A35" s="15"/>
      <c r="B35" s="16"/>
      <c r="C35" s="17"/>
      <c r="D35" s="17"/>
      <c r="E35" s="17"/>
      <c r="F35" s="16"/>
      <c r="G35" s="16"/>
      <c r="H35" s="16"/>
      <c r="I35" s="16"/>
    </row>
    <row r="36" spans="1:9">
      <c r="A36" s="15"/>
      <c r="B36" s="16"/>
      <c r="C36" s="17"/>
      <c r="D36" s="17"/>
      <c r="E36" s="17"/>
      <c r="F36" s="16"/>
      <c r="G36" s="16"/>
      <c r="H36" s="16"/>
      <c r="I36" s="16"/>
    </row>
    <row r="37" spans="1:9">
      <c r="A37" s="15"/>
      <c r="B37" s="16"/>
      <c r="C37" s="17"/>
      <c r="D37" s="17"/>
      <c r="E37" s="17"/>
      <c r="F37" s="16"/>
      <c r="G37" s="16"/>
      <c r="H37" s="16"/>
      <c r="I37" s="16"/>
    </row>
    <row r="38" spans="1:9">
      <c r="A38" s="15"/>
      <c r="B38" s="16"/>
      <c r="C38" s="17"/>
      <c r="D38" s="17"/>
      <c r="E38" s="17"/>
      <c r="F38" s="16"/>
      <c r="G38" s="16"/>
      <c r="H38" s="16"/>
      <c r="I38" s="16"/>
    </row>
    <row r="39" spans="1:9">
      <c r="A39" s="15"/>
      <c r="B39" s="16"/>
      <c r="C39" s="17"/>
      <c r="D39" s="17"/>
      <c r="E39" s="17"/>
      <c r="F39" s="16"/>
      <c r="G39" s="16"/>
      <c r="H39" s="16"/>
      <c r="I39" s="16"/>
    </row>
    <row r="40" spans="1:9">
      <c r="A40" s="15"/>
      <c r="B40" s="16"/>
      <c r="C40" s="17"/>
      <c r="D40" s="17"/>
      <c r="E40" s="17"/>
      <c r="F40" s="16"/>
      <c r="G40" s="16"/>
      <c r="H40" s="16"/>
      <c r="I40" s="16"/>
    </row>
    <row r="41" spans="1:9">
      <c r="A41" s="15"/>
      <c r="B41" s="16"/>
      <c r="C41" s="17"/>
      <c r="D41" s="17"/>
      <c r="E41" s="17"/>
      <c r="F41" s="16"/>
      <c r="G41" s="16"/>
      <c r="H41" s="16"/>
      <c r="I41" s="16"/>
    </row>
    <row r="42" spans="1:9">
      <c r="A42" s="15"/>
      <c r="B42" s="16"/>
      <c r="C42" s="17"/>
      <c r="D42" s="17"/>
      <c r="E42" s="17"/>
      <c r="F42" s="16"/>
      <c r="G42" s="16"/>
      <c r="H42" s="16"/>
      <c r="I42" s="16"/>
    </row>
    <row r="43" spans="1:9">
      <c r="A43" s="15"/>
      <c r="B43" s="16"/>
      <c r="C43" s="17"/>
      <c r="D43" s="17"/>
      <c r="E43" s="17"/>
      <c r="F43" s="16"/>
      <c r="G43" s="16"/>
      <c r="H43" s="16"/>
      <c r="I43" s="16"/>
    </row>
    <row r="44" spans="1:9">
      <c r="A44" s="15"/>
      <c r="B44" s="16"/>
      <c r="C44" s="17"/>
      <c r="D44" s="17"/>
      <c r="E44" s="17"/>
      <c r="F44" s="16"/>
      <c r="G44" s="16"/>
      <c r="H44" s="16"/>
      <c r="I44" s="16"/>
    </row>
    <row r="45" spans="1:9">
      <c r="A45" s="15"/>
      <c r="B45" s="16"/>
      <c r="C45" s="17"/>
      <c r="D45" s="17"/>
      <c r="E45" s="17"/>
      <c r="F45" s="16"/>
      <c r="G45" s="16"/>
      <c r="H45" s="16"/>
      <c r="I45" s="16"/>
    </row>
    <row r="46" spans="1:9">
      <c r="A46" s="15"/>
      <c r="B46" s="16"/>
      <c r="C46" s="17"/>
      <c r="D46" s="17"/>
      <c r="E46" s="17"/>
      <c r="F46" s="16"/>
      <c r="G46" s="16"/>
      <c r="H46" s="16"/>
      <c r="I46" s="16"/>
    </row>
    <row r="47" spans="1:9">
      <c r="A47" s="15"/>
      <c r="B47" s="16"/>
      <c r="C47" s="17"/>
      <c r="D47" s="17"/>
      <c r="E47" s="17"/>
      <c r="F47" s="16"/>
      <c r="G47" s="16"/>
      <c r="H47" s="16"/>
      <c r="I47" s="16"/>
    </row>
    <row r="48" spans="1:9">
      <c r="A48" s="15"/>
      <c r="B48" s="16"/>
      <c r="C48" s="17"/>
      <c r="D48" s="17"/>
      <c r="E48" s="17"/>
      <c r="F48" s="16"/>
      <c r="G48" s="16"/>
      <c r="H48" s="16"/>
      <c r="I48" s="16"/>
    </row>
    <row r="49" spans="1:9">
      <c r="A49" s="15"/>
      <c r="B49" s="16"/>
      <c r="C49" s="17"/>
      <c r="D49" s="17"/>
      <c r="E49" s="17"/>
      <c r="F49" s="16"/>
      <c r="G49" s="16"/>
      <c r="H49" s="16"/>
      <c r="I49" s="16"/>
    </row>
    <row r="50" spans="1:9">
      <c r="A50" s="15"/>
      <c r="B50" s="16"/>
      <c r="C50" s="17"/>
      <c r="D50" s="17"/>
      <c r="E50" s="17"/>
      <c r="F50" s="16"/>
      <c r="G50" s="16"/>
      <c r="H50" s="16"/>
      <c r="I50" s="16"/>
    </row>
  </sheetData>
  <mergeCells count="1">
    <mergeCell ref="A1:I1"/>
  </mergeCells>
  <conditionalFormatting sqref="A3:I13">
    <cfRule type="expression" priority="1">
      <formula>MOD(ROW()-ROW($A$3),2)=1</formula>
    </cfRule>
  </conditionalFormatting>
  <pageMargins left="0.75" right="0.75" top="1" bottom="1" header="0.5" footer="0.5"/>
  <headerFooter>
    <oddFooter xml:space="preserve">&amp;L_x000D_&amp;1#&amp;"Aptos"&amp;10&amp;KFF0000 Confidential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72EA-87AB-054A-B48E-24D20AE3C141}">
  <dimension ref="A1:I1040"/>
  <sheetViews>
    <sheetView workbookViewId="0">
      <pane xSplit="1" ySplit="2" topLeftCell="B68" activePane="bottomRight" state="frozen"/>
      <selection pane="bottomRight" activeCell="G88" sqref="G88"/>
      <selection pane="bottomLeft" activeCell="A3" sqref="A3"/>
      <selection pane="topRight" activeCell="B1" sqref="B1"/>
    </sheetView>
  </sheetViews>
  <sheetFormatPr defaultColWidth="12.7109375" defaultRowHeight="15"/>
  <cols>
    <col min="1" max="1" width="10.42578125" bestFit="1" customWidth="1"/>
    <col min="2" max="2" width="12.42578125" bestFit="1" customWidth="1"/>
    <col min="3" max="3" width="15.85546875" bestFit="1" customWidth="1"/>
    <col min="4" max="4" width="24.85546875" bestFit="1" customWidth="1"/>
    <col min="5" max="5" width="12" bestFit="1" customWidth="1"/>
    <col min="6" max="6" width="11.7109375" bestFit="1" customWidth="1"/>
    <col min="7" max="7" width="11.42578125" bestFit="1" customWidth="1"/>
    <col min="8" max="8" width="13.7109375" style="3" bestFit="1" customWidth="1"/>
    <col min="9" max="9" width="49.85546875" style="6" customWidth="1"/>
  </cols>
  <sheetData>
    <row r="1" spans="1:9" ht="32.1" customHeight="1">
      <c r="A1" s="57" t="s">
        <v>22</v>
      </c>
      <c r="B1" s="57"/>
      <c r="C1" s="57"/>
      <c r="D1" s="57"/>
      <c r="E1" s="57"/>
      <c r="F1" s="57"/>
      <c r="G1" s="57"/>
      <c r="H1" s="57"/>
      <c r="I1" s="57"/>
    </row>
    <row r="2" spans="1:9" ht="15.95">
      <c r="A2" s="27" t="s">
        <v>23</v>
      </c>
      <c r="B2" s="28" t="s">
        <v>24</v>
      </c>
      <c r="C2" s="28" t="s">
        <v>25</v>
      </c>
      <c r="D2" s="28" t="s">
        <v>26</v>
      </c>
      <c r="E2" s="28" t="s">
        <v>27</v>
      </c>
      <c r="F2" s="28" t="s">
        <v>28</v>
      </c>
      <c r="G2" s="28" t="s">
        <v>29</v>
      </c>
      <c r="H2" s="29" t="s">
        <v>30</v>
      </c>
      <c r="I2" s="30" t="s">
        <v>31</v>
      </c>
    </row>
    <row r="3" spans="1:9" ht="20.100000000000001" customHeight="1">
      <c r="A3" s="39">
        <v>46054</v>
      </c>
      <c r="B3" s="40" t="str">
        <f>"Q"&amp;ROUNDUP(MONTH(A3)/3,0)&amp;" "&amp;YEAR(A3)</f>
        <v>Q1 2026</v>
      </c>
      <c r="C3" s="40" t="s">
        <v>14</v>
      </c>
      <c r="D3" s="40" t="s">
        <v>32</v>
      </c>
      <c r="E3" s="40" t="s">
        <v>33</v>
      </c>
      <c r="F3" s="40" t="s">
        <v>34</v>
      </c>
      <c r="G3" s="40" t="s">
        <v>35</v>
      </c>
      <c r="H3" s="41">
        <v>457.92</v>
      </c>
      <c r="I3" s="42" t="s">
        <v>36</v>
      </c>
    </row>
    <row r="4" spans="1:9" ht="20.100000000000001" customHeight="1">
      <c r="A4" s="39">
        <v>46030</v>
      </c>
      <c r="B4" s="40" t="str">
        <f>"Q"&amp;ROUNDUP(MONTH(A4)/3,0)&amp;" "&amp;YEAR(A4)</f>
        <v>Q1 2026</v>
      </c>
      <c r="C4" s="40" t="s">
        <v>14</v>
      </c>
      <c r="D4" s="40" t="s">
        <v>37</v>
      </c>
      <c r="E4" s="40" t="s">
        <v>38</v>
      </c>
      <c r="F4" s="40" t="s">
        <v>34</v>
      </c>
      <c r="G4" s="40" t="s">
        <v>35</v>
      </c>
      <c r="H4" s="41">
        <v>2500</v>
      </c>
      <c r="I4" s="42" t="s">
        <v>39</v>
      </c>
    </row>
    <row r="5" spans="1:9" ht="20.100000000000001" customHeight="1">
      <c r="A5" s="51">
        <v>46036</v>
      </c>
      <c r="B5" s="40" t="str">
        <f t="shared" ref="B5:B33" si="0">"Q"&amp;ROUNDUP(MONTH(A5)/3,0)&amp;" "&amp;YEAR(A5)</f>
        <v>Q1 2026</v>
      </c>
      <c r="C5" s="52" t="s">
        <v>14</v>
      </c>
      <c r="D5" s="52" t="s">
        <v>40</v>
      </c>
      <c r="E5" s="52" t="s">
        <v>38</v>
      </c>
      <c r="F5" s="52" t="s">
        <v>34</v>
      </c>
      <c r="G5" s="52" t="s">
        <v>35</v>
      </c>
      <c r="H5" s="53">
        <v>576.80999999999995</v>
      </c>
      <c r="I5" s="54" t="s">
        <v>41</v>
      </c>
    </row>
    <row r="6" spans="1:9" ht="20.100000000000001" customHeight="1">
      <c r="A6" s="51">
        <v>46036</v>
      </c>
      <c r="B6" s="40" t="str">
        <f t="shared" si="0"/>
        <v>Q1 2026</v>
      </c>
      <c r="C6" s="52" t="s">
        <v>13</v>
      </c>
      <c r="D6" s="40" t="s">
        <v>32</v>
      </c>
      <c r="E6" s="52" t="s">
        <v>38</v>
      </c>
      <c r="F6" s="52" t="s">
        <v>34</v>
      </c>
      <c r="G6" s="52" t="s">
        <v>42</v>
      </c>
      <c r="H6" s="53">
        <v>79.599999999999994</v>
      </c>
      <c r="I6" s="54" t="s">
        <v>43</v>
      </c>
    </row>
    <row r="7" spans="1:9" ht="20.100000000000001" customHeight="1">
      <c r="A7" s="39">
        <v>46042</v>
      </c>
      <c r="B7" s="40" t="str">
        <f t="shared" si="0"/>
        <v>Q1 2026</v>
      </c>
      <c r="C7" s="40" t="s">
        <v>19</v>
      </c>
      <c r="D7" s="40" t="s">
        <v>44</v>
      </c>
      <c r="E7" s="40" t="s">
        <v>33</v>
      </c>
      <c r="F7" s="40" t="s">
        <v>34</v>
      </c>
      <c r="G7" s="40" t="s">
        <v>42</v>
      </c>
      <c r="H7" s="41">
        <v>1325.95</v>
      </c>
      <c r="I7" s="42" t="s">
        <v>45</v>
      </c>
    </row>
    <row r="8" spans="1:9" ht="20.100000000000001" customHeight="1">
      <c r="A8" s="51">
        <v>46052</v>
      </c>
      <c r="B8" s="40" t="str">
        <f t="shared" si="0"/>
        <v>Q1 2026</v>
      </c>
      <c r="C8" s="52" t="s">
        <v>14</v>
      </c>
      <c r="D8" s="52" t="s">
        <v>40</v>
      </c>
      <c r="E8" s="52" t="s">
        <v>38</v>
      </c>
      <c r="F8" s="52" t="s">
        <v>34</v>
      </c>
      <c r="G8" s="52" t="s">
        <v>35</v>
      </c>
      <c r="H8" s="53">
        <v>2164.21</v>
      </c>
      <c r="I8" s="54" t="s">
        <v>41</v>
      </c>
    </row>
    <row r="9" spans="1:9" ht="20.100000000000001" customHeight="1">
      <c r="A9" s="39">
        <v>46052</v>
      </c>
      <c r="B9" s="40" t="str">
        <f t="shared" si="0"/>
        <v>Q1 2026</v>
      </c>
      <c r="C9" s="40" t="s">
        <v>14</v>
      </c>
      <c r="D9" s="40" t="s">
        <v>32</v>
      </c>
      <c r="E9" s="40" t="s">
        <v>38</v>
      </c>
      <c r="F9" s="40" t="s">
        <v>34</v>
      </c>
      <c r="G9" s="40" t="s">
        <v>35</v>
      </c>
      <c r="H9" s="41">
        <v>20632.7</v>
      </c>
      <c r="I9" s="42" t="s">
        <v>46</v>
      </c>
    </row>
    <row r="10" spans="1:9" ht="20.100000000000001" customHeight="1">
      <c r="A10" s="39">
        <v>46053</v>
      </c>
      <c r="B10" s="40" t="str">
        <f t="shared" si="0"/>
        <v>Q1 2026</v>
      </c>
      <c r="C10" s="40" t="s">
        <v>19</v>
      </c>
      <c r="D10" s="40" t="s">
        <v>44</v>
      </c>
      <c r="E10" s="40" t="s">
        <v>38</v>
      </c>
      <c r="F10" s="40" t="s">
        <v>34</v>
      </c>
      <c r="G10" s="40" t="s">
        <v>42</v>
      </c>
      <c r="H10" s="41">
        <v>90</v>
      </c>
      <c r="I10" s="42" t="s">
        <v>47</v>
      </c>
    </row>
    <row r="11" spans="1:9" ht="21" customHeight="1">
      <c r="A11" s="39">
        <v>46053</v>
      </c>
      <c r="B11" s="40" t="str">
        <f t="shared" si="0"/>
        <v>Q1 2026</v>
      </c>
      <c r="C11" s="40" t="s">
        <v>13</v>
      </c>
      <c r="D11" s="40" t="s">
        <v>44</v>
      </c>
      <c r="E11" s="40" t="s">
        <v>38</v>
      </c>
      <c r="F11" s="40" t="s">
        <v>34</v>
      </c>
      <c r="G11" s="40" t="s">
        <v>42</v>
      </c>
      <c r="H11" s="41">
        <v>52.43</v>
      </c>
      <c r="I11" s="42" t="s">
        <v>48</v>
      </c>
    </row>
    <row r="12" spans="1:9" ht="20.100000000000001" customHeight="1">
      <c r="A12" s="39">
        <v>46053</v>
      </c>
      <c r="B12" s="40" t="str">
        <f t="shared" si="0"/>
        <v>Q1 2026</v>
      </c>
      <c r="C12" s="40" t="s">
        <v>14</v>
      </c>
      <c r="D12" s="40" t="s">
        <v>44</v>
      </c>
      <c r="E12" s="40" t="s">
        <v>38</v>
      </c>
      <c r="F12" s="40" t="s">
        <v>34</v>
      </c>
      <c r="G12" s="40" t="s">
        <v>42</v>
      </c>
      <c r="H12" s="41">
        <v>6633.38</v>
      </c>
      <c r="I12" s="42" t="s">
        <v>49</v>
      </c>
    </row>
    <row r="13" spans="1:9" ht="20.100000000000001" customHeight="1">
      <c r="A13" s="51">
        <v>46053</v>
      </c>
      <c r="B13" s="40" t="str">
        <f t="shared" si="0"/>
        <v>Q1 2026</v>
      </c>
      <c r="C13" s="52" t="s">
        <v>13</v>
      </c>
      <c r="D13" s="52" t="s">
        <v>40</v>
      </c>
      <c r="E13" s="52" t="s">
        <v>38</v>
      </c>
      <c r="F13" s="52" t="s">
        <v>34</v>
      </c>
      <c r="G13" s="52" t="s">
        <v>50</v>
      </c>
      <c r="H13" s="53">
        <v>733.85</v>
      </c>
      <c r="I13" s="54" t="s">
        <v>51</v>
      </c>
    </row>
    <row r="14" spans="1:9" ht="20.100000000000001" customHeight="1">
      <c r="A14" s="51">
        <v>46054</v>
      </c>
      <c r="B14" s="40" t="str">
        <f t="shared" si="0"/>
        <v>Q1 2026</v>
      </c>
      <c r="C14" s="52" t="s">
        <v>14</v>
      </c>
      <c r="D14" s="52" t="s">
        <v>44</v>
      </c>
      <c r="E14" s="52" t="s">
        <v>38</v>
      </c>
      <c r="F14" s="52" t="s">
        <v>34</v>
      </c>
      <c r="G14" s="52" t="s">
        <v>42</v>
      </c>
      <c r="H14" s="53">
        <v>-18015.07</v>
      </c>
      <c r="I14" s="54" t="s">
        <v>52</v>
      </c>
    </row>
    <row r="15" spans="1:9" ht="20.100000000000001" customHeight="1">
      <c r="A15" s="39">
        <v>46055</v>
      </c>
      <c r="B15" s="40" t="str">
        <f t="shared" si="0"/>
        <v>Q1 2026</v>
      </c>
      <c r="C15" s="40" t="s">
        <v>14</v>
      </c>
      <c r="D15" s="40" t="s">
        <v>32</v>
      </c>
      <c r="E15" s="40" t="s">
        <v>33</v>
      </c>
      <c r="F15" s="40" t="s">
        <v>34</v>
      </c>
      <c r="G15" s="40" t="s">
        <v>35</v>
      </c>
      <c r="H15" s="41">
        <v>457.92</v>
      </c>
      <c r="I15" s="42" t="s">
        <v>36</v>
      </c>
    </row>
    <row r="16" spans="1:9" ht="20.100000000000001" customHeight="1">
      <c r="A16" s="39">
        <v>46059</v>
      </c>
      <c r="B16" s="40" t="str">
        <f t="shared" si="0"/>
        <v>Q1 2026</v>
      </c>
      <c r="C16" s="40" t="s">
        <v>13</v>
      </c>
      <c r="D16" s="40" t="s">
        <v>37</v>
      </c>
      <c r="E16" s="40" t="s">
        <v>38</v>
      </c>
      <c r="F16" s="40" t="s">
        <v>34</v>
      </c>
      <c r="G16" s="40" t="s">
        <v>50</v>
      </c>
      <c r="H16" s="41">
        <v>1011.68</v>
      </c>
      <c r="I16" s="42" t="s">
        <v>51</v>
      </c>
    </row>
    <row r="17" spans="1:9" ht="20.100000000000001" customHeight="1">
      <c r="A17" s="39">
        <v>46061</v>
      </c>
      <c r="B17" s="40" t="str">
        <f t="shared" si="0"/>
        <v>Q1 2026</v>
      </c>
      <c r="C17" s="40" t="s">
        <v>14</v>
      </c>
      <c r="D17" s="40" t="s">
        <v>37</v>
      </c>
      <c r="E17" s="40" t="s">
        <v>38</v>
      </c>
      <c r="F17" s="40" t="s">
        <v>34</v>
      </c>
      <c r="G17" s="40" t="s">
        <v>35</v>
      </c>
      <c r="H17" s="41">
        <v>2500</v>
      </c>
      <c r="I17" s="42" t="s">
        <v>39</v>
      </c>
    </row>
    <row r="18" spans="1:9" ht="20.100000000000001" customHeight="1">
      <c r="A18" s="39">
        <v>46065</v>
      </c>
      <c r="B18" s="40" t="str">
        <f t="shared" si="0"/>
        <v>Q1 2026</v>
      </c>
      <c r="C18" s="40" t="s">
        <v>12</v>
      </c>
      <c r="D18" s="40" t="s">
        <v>32</v>
      </c>
      <c r="E18" s="40" t="s">
        <v>38</v>
      </c>
      <c r="F18" s="40" t="s">
        <v>34</v>
      </c>
      <c r="G18" s="40" t="s">
        <v>35</v>
      </c>
      <c r="H18" s="41">
        <v>650</v>
      </c>
      <c r="I18" s="42" t="s">
        <v>53</v>
      </c>
    </row>
    <row r="19" spans="1:9" ht="20.100000000000001" customHeight="1">
      <c r="A19" s="51">
        <v>46067</v>
      </c>
      <c r="B19" s="40" t="str">
        <f t="shared" si="0"/>
        <v>Q1 2026</v>
      </c>
      <c r="C19" s="52" t="s">
        <v>14</v>
      </c>
      <c r="D19" s="52" t="s">
        <v>40</v>
      </c>
      <c r="E19" s="52" t="s">
        <v>38</v>
      </c>
      <c r="F19" s="52" t="s">
        <v>34</v>
      </c>
      <c r="G19" s="52" t="s">
        <v>35</v>
      </c>
      <c r="H19" s="53">
        <v>574.5</v>
      </c>
      <c r="I19" s="54" t="s">
        <v>41</v>
      </c>
    </row>
    <row r="20" spans="1:9" ht="20.100000000000001" customHeight="1">
      <c r="A20" s="51">
        <v>46067</v>
      </c>
      <c r="B20" s="40" t="str">
        <f>"Q"&amp;ROUNDUP(MONTH(A20)/3,0)&amp;" "&amp;YEAR(A20)</f>
        <v>Q1 2026</v>
      </c>
      <c r="C20" s="52" t="s">
        <v>13</v>
      </c>
      <c r="D20" s="52" t="s">
        <v>32</v>
      </c>
      <c r="E20" s="52" t="s">
        <v>38</v>
      </c>
      <c r="F20" s="52" t="s">
        <v>34</v>
      </c>
      <c r="G20" s="52" t="s">
        <v>42</v>
      </c>
      <c r="H20" s="53">
        <v>79.28</v>
      </c>
      <c r="I20" s="54" t="s">
        <v>43</v>
      </c>
    </row>
    <row r="21" spans="1:9" ht="20.100000000000001" customHeight="1">
      <c r="A21" s="39">
        <v>46072</v>
      </c>
      <c r="B21" s="40" t="str">
        <f t="shared" si="0"/>
        <v>Q1 2026</v>
      </c>
      <c r="C21" s="40" t="s">
        <v>13</v>
      </c>
      <c r="D21" s="40" t="s">
        <v>44</v>
      </c>
      <c r="E21" s="40" t="s">
        <v>38</v>
      </c>
      <c r="F21" s="40" t="s">
        <v>34</v>
      </c>
      <c r="G21" s="40" t="s">
        <v>42</v>
      </c>
      <c r="H21" s="41">
        <v>88.7</v>
      </c>
      <c r="I21" s="42" t="s">
        <v>48</v>
      </c>
    </row>
    <row r="22" spans="1:9" ht="20.100000000000001" customHeight="1">
      <c r="A22" s="39">
        <v>46072</v>
      </c>
      <c r="B22" s="40" t="str">
        <f t="shared" si="0"/>
        <v>Q1 2026</v>
      </c>
      <c r="C22" s="40" t="s">
        <v>13</v>
      </c>
      <c r="D22" s="40" t="s">
        <v>40</v>
      </c>
      <c r="E22" s="40" t="s">
        <v>54</v>
      </c>
      <c r="F22" s="40" t="s">
        <v>34</v>
      </c>
      <c r="G22" s="40" t="s">
        <v>55</v>
      </c>
      <c r="H22" s="41">
        <v>85.27</v>
      </c>
      <c r="I22" s="42" t="s">
        <v>56</v>
      </c>
    </row>
    <row r="23" spans="1:9" ht="20.100000000000001" customHeight="1">
      <c r="A23" s="39">
        <v>46080</v>
      </c>
      <c r="B23" s="40" t="str">
        <f t="shared" si="0"/>
        <v>Q1 2026</v>
      </c>
      <c r="C23" s="40" t="s">
        <v>14</v>
      </c>
      <c r="D23" s="40" t="s">
        <v>44</v>
      </c>
      <c r="E23" s="40" t="s">
        <v>38</v>
      </c>
      <c r="F23" s="40" t="s">
        <v>34</v>
      </c>
      <c r="G23" s="40" t="s">
        <v>42</v>
      </c>
      <c r="H23" s="41">
        <v>6606.77</v>
      </c>
      <c r="I23" s="42" t="s">
        <v>49</v>
      </c>
    </row>
    <row r="24" spans="1:9" ht="20.100000000000001" customHeight="1">
      <c r="A24" s="39">
        <v>46081</v>
      </c>
      <c r="B24" s="40" t="str">
        <f t="shared" si="0"/>
        <v>Q1 2026</v>
      </c>
      <c r="C24" s="40" t="s">
        <v>13</v>
      </c>
      <c r="D24" s="40" t="s">
        <v>44</v>
      </c>
      <c r="E24" s="40" t="s">
        <v>38</v>
      </c>
      <c r="F24" s="40" t="s">
        <v>34</v>
      </c>
      <c r="G24" s="40" t="s">
        <v>42</v>
      </c>
      <c r="H24" s="41">
        <v>95.73</v>
      </c>
      <c r="I24" s="42" t="s">
        <v>57</v>
      </c>
    </row>
    <row r="25" spans="1:9" ht="20.100000000000001" customHeight="1">
      <c r="A25" s="51">
        <v>46081</v>
      </c>
      <c r="B25" s="40" t="str">
        <f t="shared" si="0"/>
        <v>Q1 2026</v>
      </c>
      <c r="C25" s="52" t="s">
        <v>13</v>
      </c>
      <c r="D25" s="52" t="s">
        <v>37</v>
      </c>
      <c r="E25" s="52" t="s">
        <v>38</v>
      </c>
      <c r="F25" s="52" t="s">
        <v>34</v>
      </c>
      <c r="G25" s="52" t="s">
        <v>50</v>
      </c>
      <c r="H25" s="53">
        <v>662.83</v>
      </c>
      <c r="I25" s="54" t="s">
        <v>51</v>
      </c>
    </row>
    <row r="26" spans="1:9" ht="20.100000000000001" customHeight="1">
      <c r="A26" s="51">
        <v>46081</v>
      </c>
      <c r="B26" s="40" t="str">
        <f>"Q"&amp;ROUNDUP(MONTH(A26)/3,0)&amp;" "&amp;YEAR(A26)</f>
        <v>Q1 2026</v>
      </c>
      <c r="C26" s="52" t="s">
        <v>13</v>
      </c>
      <c r="D26" s="52" t="s">
        <v>37</v>
      </c>
      <c r="E26" s="52" t="s">
        <v>38</v>
      </c>
      <c r="F26" s="52" t="s">
        <v>34</v>
      </c>
      <c r="G26" s="52" t="s">
        <v>50</v>
      </c>
      <c r="H26" s="53">
        <v>-927.37</v>
      </c>
      <c r="I26" s="54" t="s">
        <v>51</v>
      </c>
    </row>
    <row r="27" spans="1:9" ht="20.100000000000001" customHeight="1">
      <c r="A27" s="39">
        <v>46082</v>
      </c>
      <c r="B27" s="40" t="str">
        <f t="shared" si="0"/>
        <v>Q1 2026</v>
      </c>
      <c r="C27" s="40" t="s">
        <v>14</v>
      </c>
      <c r="D27" s="40" t="s">
        <v>44</v>
      </c>
      <c r="E27" s="40" t="s">
        <v>38</v>
      </c>
      <c r="F27" s="40" t="s">
        <v>34</v>
      </c>
      <c r="G27" s="40" t="s">
        <v>42</v>
      </c>
      <c r="H27" s="41">
        <v>2164.35</v>
      </c>
      <c r="I27" s="42" t="s">
        <v>58</v>
      </c>
    </row>
    <row r="28" spans="1:9" ht="20.100000000000001" customHeight="1">
      <c r="A28" s="39">
        <v>46082</v>
      </c>
      <c r="B28" s="40" t="str">
        <f t="shared" si="0"/>
        <v>Q1 2026</v>
      </c>
      <c r="C28" s="40" t="s">
        <v>19</v>
      </c>
      <c r="D28" s="40" t="s">
        <v>37</v>
      </c>
      <c r="E28" s="40" t="s">
        <v>38</v>
      </c>
      <c r="F28" s="40" t="s">
        <v>34</v>
      </c>
      <c r="G28" s="40" t="s">
        <v>42</v>
      </c>
      <c r="H28" s="41">
        <v>702.98</v>
      </c>
      <c r="I28" s="42" t="s">
        <v>59</v>
      </c>
    </row>
    <row r="29" spans="1:9" ht="20.100000000000001" customHeight="1">
      <c r="A29" s="39">
        <v>46083</v>
      </c>
      <c r="B29" s="40" t="str">
        <f t="shared" si="0"/>
        <v>Q1 2026</v>
      </c>
      <c r="C29" s="40" t="s">
        <v>14</v>
      </c>
      <c r="D29" s="40" t="s">
        <v>32</v>
      </c>
      <c r="E29" s="40" t="s">
        <v>33</v>
      </c>
      <c r="F29" s="40" t="s">
        <v>34</v>
      </c>
      <c r="G29" s="40" t="s">
        <v>35</v>
      </c>
      <c r="H29" s="41">
        <v>457.92</v>
      </c>
      <c r="I29" s="42" t="s">
        <v>36</v>
      </c>
    </row>
    <row r="30" spans="1:9" ht="20.100000000000001" customHeight="1">
      <c r="A30" s="39">
        <v>46084</v>
      </c>
      <c r="B30" s="40" t="str">
        <f t="shared" si="0"/>
        <v>Q1 2026</v>
      </c>
      <c r="C30" s="40" t="s">
        <v>13</v>
      </c>
      <c r="D30" s="40" t="s">
        <v>44</v>
      </c>
      <c r="E30" s="40" t="s">
        <v>38</v>
      </c>
      <c r="F30" s="40" t="s">
        <v>34</v>
      </c>
      <c r="G30" s="40" t="s">
        <v>42</v>
      </c>
      <c r="H30" s="41">
        <v>52.43</v>
      </c>
      <c r="I30" s="42" t="s">
        <v>48</v>
      </c>
    </row>
    <row r="31" spans="1:9" ht="20.100000000000001" customHeight="1">
      <c r="A31" s="39">
        <v>46089</v>
      </c>
      <c r="B31" s="40" t="str">
        <f t="shared" si="0"/>
        <v>Q1 2026</v>
      </c>
      <c r="C31" s="40" t="s">
        <v>14</v>
      </c>
      <c r="D31" s="40" t="s">
        <v>37</v>
      </c>
      <c r="E31" s="40" t="s">
        <v>38</v>
      </c>
      <c r="F31" s="40" t="s">
        <v>34</v>
      </c>
      <c r="G31" s="40" t="s">
        <v>35</v>
      </c>
      <c r="H31" s="41">
        <v>2500</v>
      </c>
      <c r="I31" s="42" t="s">
        <v>39</v>
      </c>
    </row>
    <row r="32" spans="1:9" ht="20.100000000000001" customHeight="1">
      <c r="A32" s="39">
        <v>46092</v>
      </c>
      <c r="B32" s="40" t="str">
        <f t="shared" si="0"/>
        <v>Q1 2026</v>
      </c>
      <c r="C32" s="40" t="s">
        <v>14</v>
      </c>
      <c r="D32" s="40" t="s">
        <v>32</v>
      </c>
      <c r="E32" s="40" t="s">
        <v>38</v>
      </c>
      <c r="F32" s="40" t="s">
        <v>34</v>
      </c>
      <c r="G32" s="40" t="s">
        <v>35</v>
      </c>
      <c r="H32" s="41">
        <v>650</v>
      </c>
      <c r="I32" s="42" t="s">
        <v>53</v>
      </c>
    </row>
    <row r="33" spans="1:9" ht="20.100000000000001" customHeight="1">
      <c r="A33" s="51">
        <v>46095</v>
      </c>
      <c r="B33" s="40" t="str">
        <f t="shared" si="0"/>
        <v>Q1 2026</v>
      </c>
      <c r="C33" s="52" t="s">
        <v>13</v>
      </c>
      <c r="D33" s="52" t="s">
        <v>32</v>
      </c>
      <c r="E33" s="52" t="s">
        <v>38</v>
      </c>
      <c r="F33" s="52" t="s">
        <v>34</v>
      </c>
      <c r="G33" s="52" t="s">
        <v>42</v>
      </c>
      <c r="H33" s="53">
        <v>500</v>
      </c>
      <c r="I33" s="54" t="s">
        <v>41</v>
      </c>
    </row>
    <row r="34" spans="1:9" ht="20.100000000000001" customHeight="1">
      <c r="A34" s="51">
        <v>46095</v>
      </c>
      <c r="B34" s="52" t="str">
        <f t="shared" ref="B34:B49" si="1">"Q"&amp;ROUNDUP(MONTH(A34)/3,0)&amp;" "&amp;YEAR(A34)</f>
        <v>Q1 2026</v>
      </c>
      <c r="C34" s="52" t="s">
        <v>13</v>
      </c>
      <c r="D34" s="52" t="s">
        <v>32</v>
      </c>
      <c r="E34" s="52" t="s">
        <v>38</v>
      </c>
      <c r="F34" s="52" t="s">
        <v>34</v>
      </c>
      <c r="G34" s="52" t="s">
        <v>42</v>
      </c>
      <c r="H34" s="53">
        <v>69</v>
      </c>
      <c r="I34" s="54" t="s">
        <v>43</v>
      </c>
    </row>
    <row r="35" spans="1:9" ht="20.100000000000001" customHeight="1">
      <c r="A35" s="39">
        <v>46099</v>
      </c>
      <c r="B35" s="40" t="str">
        <f t="shared" si="1"/>
        <v>Q1 2026</v>
      </c>
      <c r="C35" s="40" t="s">
        <v>13</v>
      </c>
      <c r="D35" s="40" t="s">
        <v>37</v>
      </c>
      <c r="E35" s="40" t="s">
        <v>38</v>
      </c>
      <c r="F35" s="40" t="s">
        <v>34</v>
      </c>
      <c r="G35" s="40" t="s">
        <v>50</v>
      </c>
      <c r="H35" s="41">
        <v>1734.31</v>
      </c>
      <c r="I35" s="42" t="s">
        <v>51</v>
      </c>
    </row>
    <row r="36" spans="1:9" ht="20.100000000000001" customHeight="1">
      <c r="A36" s="39">
        <v>46104</v>
      </c>
      <c r="B36" s="40" t="str">
        <f t="shared" si="1"/>
        <v>Q1 2026</v>
      </c>
      <c r="C36" s="40" t="s">
        <v>16</v>
      </c>
      <c r="D36" s="40" t="s">
        <v>37</v>
      </c>
      <c r="E36" s="40" t="s">
        <v>60</v>
      </c>
      <c r="F36" s="40" t="s">
        <v>34</v>
      </c>
      <c r="G36" s="40" t="s">
        <v>50</v>
      </c>
      <c r="H36" s="41">
        <v>6650</v>
      </c>
      <c r="I36" s="42" t="s">
        <v>61</v>
      </c>
    </row>
    <row r="37" spans="1:9" ht="20.100000000000001" customHeight="1">
      <c r="A37" s="51">
        <v>46106</v>
      </c>
      <c r="B37" s="52" t="str">
        <f t="shared" si="1"/>
        <v>Q1 2026</v>
      </c>
      <c r="C37" s="52" t="s">
        <v>15</v>
      </c>
      <c r="D37" s="52" t="s">
        <v>37</v>
      </c>
      <c r="E37" s="52" t="s">
        <v>62</v>
      </c>
      <c r="F37" s="52" t="s">
        <v>34</v>
      </c>
      <c r="G37" s="52" t="s">
        <v>50</v>
      </c>
      <c r="H37" s="53">
        <v>320.97000000000003</v>
      </c>
      <c r="I37" s="54" t="s">
        <v>63</v>
      </c>
    </row>
    <row r="38" spans="1:9" ht="20.100000000000001" customHeight="1">
      <c r="A38" s="51">
        <v>46106</v>
      </c>
      <c r="B38" s="52" t="str">
        <f t="shared" si="1"/>
        <v>Q1 2026</v>
      </c>
      <c r="C38" s="52" t="s">
        <v>13</v>
      </c>
      <c r="D38" s="52" t="s">
        <v>44</v>
      </c>
      <c r="E38" s="52" t="s">
        <v>38</v>
      </c>
      <c r="F38" s="52" t="s">
        <v>34</v>
      </c>
      <c r="G38" s="52" t="s">
        <v>42</v>
      </c>
      <c r="H38" s="53">
        <v>229.9</v>
      </c>
      <c r="I38" s="54" t="s">
        <v>64</v>
      </c>
    </row>
    <row r="39" spans="1:9" ht="20.100000000000001" customHeight="1">
      <c r="A39" s="39">
        <v>46107</v>
      </c>
      <c r="B39" s="40" t="str">
        <f t="shared" si="1"/>
        <v>Q1 2026</v>
      </c>
      <c r="C39" s="40" t="s">
        <v>19</v>
      </c>
      <c r="D39" s="40" t="s">
        <v>44</v>
      </c>
      <c r="E39" s="40" t="s">
        <v>60</v>
      </c>
      <c r="F39" s="40" t="s">
        <v>34</v>
      </c>
      <c r="G39" s="40" t="s">
        <v>42</v>
      </c>
      <c r="H39" s="41">
        <v>371.2</v>
      </c>
      <c r="I39" s="42" t="s">
        <v>65</v>
      </c>
    </row>
    <row r="40" spans="1:9" ht="20.100000000000001" customHeight="1">
      <c r="A40" s="51">
        <v>46106</v>
      </c>
      <c r="B40" s="52" t="str">
        <f t="shared" si="1"/>
        <v>Q1 2026</v>
      </c>
      <c r="C40" s="52" t="s">
        <v>13</v>
      </c>
      <c r="D40" s="52" t="s">
        <v>37</v>
      </c>
      <c r="E40" s="52" t="s">
        <v>38</v>
      </c>
      <c r="F40" s="52" t="s">
        <v>34</v>
      </c>
      <c r="G40" s="52" t="s">
        <v>42</v>
      </c>
      <c r="H40" s="53">
        <v>2520.79</v>
      </c>
      <c r="I40" s="54" t="s">
        <v>51</v>
      </c>
    </row>
    <row r="41" spans="1:9" ht="20.100000000000001" customHeight="1">
      <c r="A41" s="51">
        <v>46110</v>
      </c>
      <c r="B41" s="52" t="str">
        <f t="shared" si="1"/>
        <v>Q1 2026</v>
      </c>
      <c r="C41" s="52" t="s">
        <v>14</v>
      </c>
      <c r="D41" s="52" t="s">
        <v>44</v>
      </c>
      <c r="E41" s="52" t="s">
        <v>38</v>
      </c>
      <c r="F41" s="52" t="s">
        <v>34</v>
      </c>
      <c r="G41" s="52" t="s">
        <v>42</v>
      </c>
      <c r="H41" s="53">
        <v>6637.35</v>
      </c>
      <c r="I41" s="54" t="s">
        <v>49</v>
      </c>
    </row>
    <row r="42" spans="1:9" ht="20.100000000000001" customHeight="1">
      <c r="A42" s="51">
        <v>46111</v>
      </c>
      <c r="B42" s="52" t="str">
        <f t="shared" si="1"/>
        <v>Q1 2026</v>
      </c>
      <c r="C42" s="52" t="s">
        <v>13</v>
      </c>
      <c r="D42" s="52" t="s">
        <v>44</v>
      </c>
      <c r="E42" s="52" t="s">
        <v>38</v>
      </c>
      <c r="F42" s="52" t="s">
        <v>34</v>
      </c>
      <c r="G42" s="52" t="s">
        <v>42</v>
      </c>
      <c r="H42" s="53">
        <v>220.5</v>
      </c>
      <c r="I42" s="54" t="s">
        <v>66</v>
      </c>
    </row>
    <row r="43" spans="1:9" ht="20.100000000000001" customHeight="1">
      <c r="A43" s="39">
        <v>46108</v>
      </c>
      <c r="B43" s="40" t="str">
        <f t="shared" si="1"/>
        <v>Q1 2026</v>
      </c>
      <c r="C43" s="40" t="s">
        <v>19</v>
      </c>
      <c r="D43" s="40" t="s">
        <v>44</v>
      </c>
      <c r="E43" s="40" t="s">
        <v>60</v>
      </c>
      <c r="F43" s="40" t="s">
        <v>34</v>
      </c>
      <c r="G43" s="40" t="s">
        <v>42</v>
      </c>
      <c r="H43" s="41">
        <v>76.400000000000006</v>
      </c>
      <c r="I43" s="42" t="s">
        <v>67</v>
      </c>
    </row>
    <row r="44" spans="1:9" ht="20.100000000000001" customHeight="1">
      <c r="A44" s="51">
        <v>46112</v>
      </c>
      <c r="B44" s="52" t="str">
        <f t="shared" si="1"/>
        <v>Q1 2026</v>
      </c>
      <c r="C44" s="52" t="s">
        <v>14</v>
      </c>
      <c r="D44" s="52" t="s">
        <v>44</v>
      </c>
      <c r="E44" s="52" t="s">
        <v>38</v>
      </c>
      <c r="F44" s="52" t="s">
        <v>34</v>
      </c>
      <c r="G44" s="52" t="s">
        <v>42</v>
      </c>
      <c r="H44" s="53">
        <v>-1298.6099999999999</v>
      </c>
      <c r="I44" s="54" t="s">
        <v>68</v>
      </c>
    </row>
    <row r="45" spans="1:9" ht="20.100000000000001" customHeight="1">
      <c r="A45" s="51">
        <v>46112</v>
      </c>
      <c r="B45" s="52" t="str">
        <f t="shared" si="1"/>
        <v>Q1 2026</v>
      </c>
      <c r="C45" s="52" t="s">
        <v>14</v>
      </c>
      <c r="D45" s="52" t="s">
        <v>44</v>
      </c>
      <c r="E45" s="52" t="s">
        <v>38</v>
      </c>
      <c r="F45" s="52" t="s">
        <v>34</v>
      </c>
      <c r="G45" s="52" t="s">
        <v>42</v>
      </c>
      <c r="H45" s="53">
        <v>2597.2199999999998</v>
      </c>
      <c r="I45" s="54" t="s">
        <v>69</v>
      </c>
    </row>
    <row r="46" spans="1:9" ht="20.100000000000001" customHeight="1">
      <c r="A46" s="51">
        <v>46112</v>
      </c>
      <c r="B46" s="52" t="str">
        <f t="shared" si="1"/>
        <v>Q1 2026</v>
      </c>
      <c r="C46" s="52" t="s">
        <v>13</v>
      </c>
      <c r="D46" s="52" t="s">
        <v>44</v>
      </c>
      <c r="E46" s="52" t="s">
        <v>38</v>
      </c>
      <c r="F46" s="52" t="s">
        <v>34</v>
      </c>
      <c r="G46" s="52" t="s">
        <v>42</v>
      </c>
      <c r="H46" s="53">
        <v>733.85</v>
      </c>
      <c r="I46" s="54" t="s">
        <v>51</v>
      </c>
    </row>
    <row r="47" spans="1:9" ht="20.100000000000001" customHeight="1">
      <c r="A47" s="51">
        <v>46112</v>
      </c>
      <c r="B47" s="52" t="str">
        <f t="shared" si="1"/>
        <v>Q1 2026</v>
      </c>
      <c r="C47" s="52" t="s">
        <v>13</v>
      </c>
      <c r="D47" s="52" t="s">
        <v>44</v>
      </c>
      <c r="E47" s="52" t="s">
        <v>38</v>
      </c>
      <c r="F47" s="52" t="s">
        <v>34</v>
      </c>
      <c r="G47" s="52" t="s">
        <v>42</v>
      </c>
      <c r="H47" s="53">
        <v>104.54</v>
      </c>
      <c r="I47" s="54" t="s">
        <v>51</v>
      </c>
    </row>
    <row r="48" spans="1:9" ht="20.100000000000001" customHeight="1">
      <c r="A48" s="51">
        <v>46112</v>
      </c>
      <c r="B48" s="52" t="str">
        <f t="shared" si="1"/>
        <v>Q1 2026</v>
      </c>
      <c r="C48" s="52" t="s">
        <v>13</v>
      </c>
      <c r="D48" s="52" t="s">
        <v>44</v>
      </c>
      <c r="E48" s="52" t="s">
        <v>38</v>
      </c>
      <c r="F48" s="52" t="s">
        <v>34</v>
      </c>
      <c r="G48" s="52" t="s">
        <v>42</v>
      </c>
      <c r="H48" s="53">
        <v>-1646.58</v>
      </c>
      <c r="I48" s="54" t="s">
        <v>51</v>
      </c>
    </row>
    <row r="49" spans="1:9" ht="20.100000000000001" customHeight="1">
      <c r="A49" s="51">
        <v>46112</v>
      </c>
      <c r="B49" s="52" t="str">
        <f t="shared" si="1"/>
        <v>Q1 2026</v>
      </c>
      <c r="C49" s="52" t="s">
        <v>13</v>
      </c>
      <c r="D49" s="52" t="s">
        <v>44</v>
      </c>
      <c r="E49" s="52" t="s">
        <v>38</v>
      </c>
      <c r="F49" s="52" t="s">
        <v>34</v>
      </c>
      <c r="G49" s="52" t="s">
        <v>42</v>
      </c>
      <c r="H49" s="53">
        <v>-2470.17</v>
      </c>
      <c r="I49" s="54" t="s">
        <v>51</v>
      </c>
    </row>
    <row r="50" spans="1:9" ht="20.100000000000001" customHeight="1">
      <c r="A50" s="39">
        <v>46113</v>
      </c>
      <c r="B50" s="40" t="str">
        <f t="shared" ref="B50:B51" si="2">"Q"&amp;ROUNDUP(MONTH(A50)/3,0)&amp;" "&amp;YEAR(A50)</f>
        <v>Q2 2026</v>
      </c>
      <c r="C50" s="40" t="s">
        <v>14</v>
      </c>
      <c r="D50" s="40" t="s">
        <v>32</v>
      </c>
      <c r="E50" s="40" t="s">
        <v>33</v>
      </c>
      <c r="F50" s="40" t="s">
        <v>34</v>
      </c>
      <c r="G50" s="40" t="s">
        <v>35</v>
      </c>
      <c r="H50" s="41">
        <v>457.92</v>
      </c>
      <c r="I50" s="42" t="s">
        <v>36</v>
      </c>
    </row>
    <row r="51" spans="1:9" ht="20.100000000000001" customHeight="1">
      <c r="A51" s="39">
        <v>46114</v>
      </c>
      <c r="B51" s="40" t="str">
        <f t="shared" si="2"/>
        <v>Q2 2026</v>
      </c>
      <c r="C51" s="40" t="s">
        <v>16</v>
      </c>
      <c r="D51" s="40" t="s">
        <v>32</v>
      </c>
      <c r="E51" s="40" t="s">
        <v>60</v>
      </c>
      <c r="F51" s="40" t="s">
        <v>34</v>
      </c>
      <c r="G51" s="40" t="s">
        <v>50</v>
      </c>
      <c r="H51" s="41">
        <v>750</v>
      </c>
      <c r="I51" s="42" t="s">
        <v>70</v>
      </c>
    </row>
    <row r="52" spans="1:9" ht="20.100000000000001" customHeight="1">
      <c r="A52" s="39">
        <v>46115</v>
      </c>
      <c r="B52" s="40" t="str">
        <f t="shared" ref="B52:B81" si="3">"Q"&amp;ROUNDUP(MONTH(A52)/3,0)&amp;" "&amp;YEAR(A52)</f>
        <v>Q2 2026</v>
      </c>
      <c r="C52" s="40" t="s">
        <v>13</v>
      </c>
      <c r="D52" s="40" t="s">
        <v>44</v>
      </c>
      <c r="E52" s="40" t="s">
        <v>38</v>
      </c>
      <c r="F52" s="40" t="s">
        <v>34</v>
      </c>
      <c r="G52" s="40" t="s">
        <v>42</v>
      </c>
      <c r="H52" s="41">
        <v>92.64</v>
      </c>
      <c r="I52" s="42" t="s">
        <v>48</v>
      </c>
    </row>
    <row r="53" spans="1:9" ht="20.100000000000001" customHeight="1">
      <c r="A53" s="39">
        <v>46120</v>
      </c>
      <c r="B53" s="40" t="str">
        <f t="shared" si="3"/>
        <v>Q2 2026</v>
      </c>
      <c r="C53" s="40" t="s">
        <v>14</v>
      </c>
      <c r="D53" s="40" t="s">
        <v>37</v>
      </c>
      <c r="E53" s="40" t="s">
        <v>38</v>
      </c>
      <c r="F53" s="40" t="s">
        <v>34</v>
      </c>
      <c r="G53" s="40" t="s">
        <v>50</v>
      </c>
      <c r="H53" s="41">
        <v>2500</v>
      </c>
      <c r="I53" s="42" t="s">
        <v>39</v>
      </c>
    </row>
    <row r="54" spans="1:9" ht="20.100000000000001" customHeight="1">
      <c r="A54" s="39">
        <v>46120</v>
      </c>
      <c r="B54" s="40" t="str">
        <f t="shared" si="3"/>
        <v>Q2 2026</v>
      </c>
      <c r="C54" s="40" t="s">
        <v>11</v>
      </c>
      <c r="D54" s="40" t="s">
        <v>40</v>
      </c>
      <c r="E54" s="40" t="s">
        <v>62</v>
      </c>
      <c r="F54" s="40" t="s">
        <v>34</v>
      </c>
      <c r="G54" s="40" t="s">
        <v>50</v>
      </c>
      <c r="H54" s="41">
        <v>183.56</v>
      </c>
      <c r="I54" s="42" t="s">
        <v>71</v>
      </c>
    </row>
    <row r="55" spans="1:9" ht="20.100000000000001" customHeight="1">
      <c r="A55" s="39">
        <v>46121</v>
      </c>
      <c r="B55" s="40" t="str">
        <f t="shared" si="3"/>
        <v>Q2 2026</v>
      </c>
      <c r="C55" s="40" t="s">
        <v>11</v>
      </c>
      <c r="D55" s="40" t="s">
        <v>40</v>
      </c>
      <c r="E55" s="40" t="s">
        <v>62</v>
      </c>
      <c r="F55" s="40" t="s">
        <v>34</v>
      </c>
      <c r="G55" s="40" t="s">
        <v>50</v>
      </c>
      <c r="H55" s="41">
        <v>186.65</v>
      </c>
      <c r="I55" s="42" t="s">
        <v>71</v>
      </c>
    </row>
    <row r="56" spans="1:9" ht="20.100000000000001" customHeight="1">
      <c r="A56" s="39">
        <v>46122</v>
      </c>
      <c r="B56" s="40" t="str">
        <f t="shared" si="3"/>
        <v>Q2 2026</v>
      </c>
      <c r="C56" s="40" t="s">
        <v>11</v>
      </c>
      <c r="D56" s="40" t="s">
        <v>40</v>
      </c>
      <c r="E56" s="40" t="s">
        <v>62</v>
      </c>
      <c r="F56" s="40" t="s">
        <v>34</v>
      </c>
      <c r="G56" s="40" t="s">
        <v>50</v>
      </c>
      <c r="H56" s="41">
        <v>176.19</v>
      </c>
      <c r="I56" s="42" t="s">
        <v>71</v>
      </c>
    </row>
    <row r="57" spans="1:9" ht="20.100000000000001" customHeight="1">
      <c r="A57" s="39">
        <v>46123</v>
      </c>
      <c r="B57" s="40" t="str">
        <f t="shared" si="3"/>
        <v>Q2 2026</v>
      </c>
      <c r="C57" s="40" t="s">
        <v>11</v>
      </c>
      <c r="D57" s="40" t="s">
        <v>40</v>
      </c>
      <c r="E57" s="40" t="s">
        <v>62</v>
      </c>
      <c r="F57" s="40" t="s">
        <v>34</v>
      </c>
      <c r="G57" s="40" t="s">
        <v>50</v>
      </c>
      <c r="H57" s="41">
        <v>168.44</v>
      </c>
      <c r="I57" s="42" t="s">
        <v>71</v>
      </c>
    </row>
    <row r="58" spans="1:9" ht="20.100000000000001" customHeight="1">
      <c r="A58" s="39">
        <v>46124</v>
      </c>
      <c r="B58" s="40" t="str">
        <f t="shared" si="3"/>
        <v>Q2 2026</v>
      </c>
      <c r="C58" s="40" t="s">
        <v>11</v>
      </c>
      <c r="D58" s="40" t="s">
        <v>40</v>
      </c>
      <c r="E58" s="40" t="s">
        <v>62</v>
      </c>
      <c r="F58" s="40" t="s">
        <v>34</v>
      </c>
      <c r="G58" s="40" t="s">
        <v>50</v>
      </c>
      <c r="H58" s="41">
        <v>123.17</v>
      </c>
      <c r="I58" s="42" t="s">
        <v>71</v>
      </c>
    </row>
    <row r="59" spans="1:9" ht="20.100000000000001" customHeight="1">
      <c r="A59" s="39">
        <v>46125</v>
      </c>
      <c r="B59" s="40" t="str">
        <f t="shared" si="3"/>
        <v>Q2 2026</v>
      </c>
      <c r="C59" s="40" t="s">
        <v>11</v>
      </c>
      <c r="D59" s="40" t="s">
        <v>40</v>
      </c>
      <c r="E59" s="40" t="s">
        <v>62</v>
      </c>
      <c r="F59" s="40" t="s">
        <v>34</v>
      </c>
      <c r="G59" s="40" t="s">
        <v>50</v>
      </c>
      <c r="H59" s="41">
        <v>125.62</v>
      </c>
      <c r="I59" s="42" t="s">
        <v>71</v>
      </c>
    </row>
    <row r="60" spans="1:9" ht="20.100000000000001" customHeight="1">
      <c r="A60" s="51">
        <v>46126</v>
      </c>
      <c r="B60" s="52" t="str">
        <f t="shared" si="3"/>
        <v>Q2 2026</v>
      </c>
      <c r="C60" s="52" t="s">
        <v>13</v>
      </c>
      <c r="D60" s="40" t="s">
        <v>32</v>
      </c>
      <c r="E60" s="52" t="s">
        <v>38</v>
      </c>
      <c r="F60" s="52" t="s">
        <v>34</v>
      </c>
      <c r="G60" s="52" t="s">
        <v>42</v>
      </c>
      <c r="H60" s="53">
        <v>69</v>
      </c>
      <c r="I60" s="54" t="s">
        <v>43</v>
      </c>
    </row>
    <row r="61" spans="1:9" ht="20.100000000000001" customHeight="1">
      <c r="A61" s="39">
        <v>46126</v>
      </c>
      <c r="B61" s="40" t="str">
        <f t="shared" si="3"/>
        <v>Q2 2026</v>
      </c>
      <c r="C61" s="40" t="s">
        <v>11</v>
      </c>
      <c r="D61" s="40" t="s">
        <v>40</v>
      </c>
      <c r="E61" s="40" t="s">
        <v>62</v>
      </c>
      <c r="F61" s="40" t="s">
        <v>34</v>
      </c>
      <c r="G61" s="40" t="s">
        <v>50</v>
      </c>
      <c r="H61" s="41">
        <v>164.91</v>
      </c>
      <c r="I61" s="42" t="s">
        <v>71</v>
      </c>
    </row>
    <row r="62" spans="1:9" ht="20.100000000000001" customHeight="1">
      <c r="A62" s="39">
        <v>46127</v>
      </c>
      <c r="B62" s="40" t="str">
        <f t="shared" si="3"/>
        <v>Q2 2026</v>
      </c>
      <c r="C62" s="40" t="s">
        <v>11</v>
      </c>
      <c r="D62" s="40" t="s">
        <v>40</v>
      </c>
      <c r="E62" s="40" t="s">
        <v>62</v>
      </c>
      <c r="F62" s="40" t="s">
        <v>34</v>
      </c>
      <c r="G62" s="40" t="s">
        <v>50</v>
      </c>
      <c r="H62" s="41">
        <v>174.31</v>
      </c>
      <c r="I62" s="42" t="s">
        <v>71</v>
      </c>
    </row>
    <row r="63" spans="1:9" ht="20.100000000000001" customHeight="1">
      <c r="A63" s="39">
        <v>46128</v>
      </c>
      <c r="B63" s="40" t="str">
        <f t="shared" si="3"/>
        <v>Q2 2026</v>
      </c>
      <c r="C63" s="40" t="s">
        <v>19</v>
      </c>
      <c r="D63" s="40" t="s">
        <v>40</v>
      </c>
      <c r="E63" s="40" t="s">
        <v>60</v>
      </c>
      <c r="F63" s="40" t="s">
        <v>34</v>
      </c>
      <c r="G63" s="40" t="s">
        <v>50</v>
      </c>
      <c r="H63" s="41">
        <v>3000</v>
      </c>
      <c r="I63" s="42" t="s">
        <v>72</v>
      </c>
    </row>
    <row r="64" spans="1:9" ht="20.100000000000001" customHeight="1">
      <c r="A64" s="39">
        <v>46128</v>
      </c>
      <c r="B64" s="40" t="str">
        <f t="shared" si="3"/>
        <v>Q2 2026</v>
      </c>
      <c r="C64" s="40" t="s">
        <v>11</v>
      </c>
      <c r="D64" s="40" t="s">
        <v>40</v>
      </c>
      <c r="E64" s="40" t="s">
        <v>62</v>
      </c>
      <c r="F64" s="40" t="s">
        <v>34</v>
      </c>
      <c r="G64" s="40" t="s">
        <v>50</v>
      </c>
      <c r="H64" s="41">
        <v>177.5</v>
      </c>
      <c r="I64" s="42" t="s">
        <v>71</v>
      </c>
    </row>
    <row r="65" spans="1:9" ht="20.100000000000001" customHeight="1">
      <c r="A65" s="39">
        <v>46129</v>
      </c>
      <c r="B65" s="40" t="str">
        <f t="shared" si="3"/>
        <v>Q2 2026</v>
      </c>
      <c r="C65" s="40" t="s">
        <v>17</v>
      </c>
      <c r="D65" s="40" t="s">
        <v>32</v>
      </c>
      <c r="E65" s="40" t="s">
        <v>60</v>
      </c>
      <c r="F65" s="40" t="s">
        <v>34</v>
      </c>
      <c r="G65" s="40" t="s">
        <v>50</v>
      </c>
      <c r="H65" s="41">
        <v>289</v>
      </c>
      <c r="I65" s="42" t="s">
        <v>73</v>
      </c>
    </row>
    <row r="66" spans="1:9" ht="20.100000000000001" customHeight="1">
      <c r="A66" s="39">
        <v>46129</v>
      </c>
      <c r="B66" s="40" t="str">
        <f t="shared" si="3"/>
        <v>Q2 2026</v>
      </c>
      <c r="C66" s="40" t="s">
        <v>17</v>
      </c>
      <c r="D66" s="40" t="s">
        <v>32</v>
      </c>
      <c r="E66" s="40" t="s">
        <v>60</v>
      </c>
      <c r="F66" s="40" t="s">
        <v>34</v>
      </c>
      <c r="G66" s="40" t="s">
        <v>50</v>
      </c>
      <c r="H66" s="41">
        <v>285.56</v>
      </c>
      <c r="I66" s="42" t="s">
        <v>74</v>
      </c>
    </row>
    <row r="67" spans="1:9" ht="20.100000000000001" customHeight="1">
      <c r="A67" s="39">
        <v>46129</v>
      </c>
      <c r="B67" s="40" t="str">
        <f t="shared" si="3"/>
        <v>Q2 2026</v>
      </c>
      <c r="C67" s="40" t="s">
        <v>11</v>
      </c>
      <c r="D67" s="40" t="s">
        <v>40</v>
      </c>
      <c r="E67" s="40" t="s">
        <v>62</v>
      </c>
      <c r="F67" s="40" t="s">
        <v>34</v>
      </c>
      <c r="G67" s="40" t="s">
        <v>50</v>
      </c>
      <c r="H67" s="41">
        <v>101.25</v>
      </c>
      <c r="I67" s="42" t="s">
        <v>71</v>
      </c>
    </row>
    <row r="68" spans="1:9" ht="20.100000000000001" customHeight="1">
      <c r="A68" s="43">
        <v>46134</v>
      </c>
      <c r="B68" s="44" t="str">
        <f t="shared" si="3"/>
        <v>Q2 2026</v>
      </c>
      <c r="C68" s="44" t="s">
        <v>16</v>
      </c>
      <c r="D68" s="44" t="s">
        <v>32</v>
      </c>
      <c r="E68" s="44" t="s">
        <v>60</v>
      </c>
      <c r="F68" s="44" t="s">
        <v>34</v>
      </c>
      <c r="G68" s="44" t="s">
        <v>50</v>
      </c>
      <c r="H68" s="45">
        <v>2613.75</v>
      </c>
      <c r="I68" s="46" t="s">
        <v>75</v>
      </c>
    </row>
    <row r="69" spans="1:9" ht="20.100000000000001" customHeight="1">
      <c r="A69" s="39">
        <v>46134</v>
      </c>
      <c r="B69" s="40" t="str">
        <f t="shared" si="3"/>
        <v>Q2 2026</v>
      </c>
      <c r="C69" s="40" t="s">
        <v>16</v>
      </c>
      <c r="D69" s="40" t="s">
        <v>32</v>
      </c>
      <c r="E69" s="40" t="s">
        <v>60</v>
      </c>
      <c r="F69" s="40" t="s">
        <v>34</v>
      </c>
      <c r="G69" s="40" t="s">
        <v>50</v>
      </c>
      <c r="H69" s="41">
        <v>1386.65</v>
      </c>
      <c r="I69" s="42" t="s">
        <v>76</v>
      </c>
    </row>
    <row r="70" spans="1:9" ht="20.100000000000001" customHeight="1">
      <c r="A70" s="43">
        <v>46134</v>
      </c>
      <c r="B70" s="44" t="str">
        <f t="shared" si="3"/>
        <v>Q2 2026</v>
      </c>
      <c r="C70" s="44" t="s">
        <v>15</v>
      </c>
      <c r="D70" s="44" t="s">
        <v>37</v>
      </c>
      <c r="E70" s="44" t="s">
        <v>62</v>
      </c>
      <c r="F70" s="44" t="s">
        <v>34</v>
      </c>
      <c r="G70" s="44" t="s">
        <v>50</v>
      </c>
      <c r="H70" s="45">
        <v>1581.77</v>
      </c>
      <c r="I70" s="46" t="s">
        <v>77</v>
      </c>
    </row>
    <row r="71" spans="1:9" ht="20.100000000000001" customHeight="1">
      <c r="A71" s="39">
        <v>46134</v>
      </c>
      <c r="B71" s="40" t="str">
        <f t="shared" si="3"/>
        <v>Q2 2026</v>
      </c>
      <c r="C71" s="40" t="s">
        <v>11</v>
      </c>
      <c r="D71" s="40" t="s">
        <v>40</v>
      </c>
      <c r="E71" s="40" t="s">
        <v>62</v>
      </c>
      <c r="F71" s="40" t="s">
        <v>34</v>
      </c>
      <c r="G71" s="40" t="s">
        <v>50</v>
      </c>
      <c r="H71" s="41">
        <v>109.39</v>
      </c>
      <c r="I71" s="42" t="s">
        <v>71</v>
      </c>
    </row>
    <row r="72" spans="1:9" ht="20.100000000000001" customHeight="1">
      <c r="A72" s="51">
        <v>46139</v>
      </c>
      <c r="B72" s="52" t="str">
        <f t="shared" si="3"/>
        <v>Q2 2026</v>
      </c>
      <c r="C72" s="52" t="s">
        <v>19</v>
      </c>
      <c r="D72" s="52" t="s">
        <v>78</v>
      </c>
      <c r="E72" s="52" t="s">
        <v>62</v>
      </c>
      <c r="F72" s="52" t="s">
        <v>34</v>
      </c>
      <c r="G72" s="52" t="s">
        <v>50</v>
      </c>
      <c r="H72" s="53">
        <v>65.09</v>
      </c>
      <c r="I72" s="54" t="s">
        <v>79</v>
      </c>
    </row>
    <row r="73" spans="1:9" ht="20.100000000000001" customHeight="1">
      <c r="A73" s="43">
        <v>46141</v>
      </c>
      <c r="B73" s="44" t="str">
        <f t="shared" si="3"/>
        <v>Q2 2026</v>
      </c>
      <c r="C73" s="44" t="s">
        <v>16</v>
      </c>
      <c r="D73" s="44" t="s">
        <v>32</v>
      </c>
      <c r="E73" s="44" t="s">
        <v>60</v>
      </c>
      <c r="F73" s="44" t="s">
        <v>34</v>
      </c>
      <c r="G73" s="44" t="s">
        <v>50</v>
      </c>
      <c r="H73" s="45">
        <v>1300</v>
      </c>
      <c r="I73" s="46" t="s">
        <v>80</v>
      </c>
    </row>
    <row r="74" spans="1:9" ht="20.100000000000001" customHeight="1">
      <c r="A74" s="39">
        <v>46142</v>
      </c>
      <c r="B74" s="40" t="str">
        <f t="shared" si="3"/>
        <v>Q2 2026</v>
      </c>
      <c r="C74" s="40" t="s">
        <v>16</v>
      </c>
      <c r="D74" s="40" t="s">
        <v>32</v>
      </c>
      <c r="E74" s="40" t="s">
        <v>60</v>
      </c>
      <c r="F74" s="40" t="s">
        <v>34</v>
      </c>
      <c r="G74" s="40" t="s">
        <v>50</v>
      </c>
      <c r="H74" s="41">
        <v>29.24</v>
      </c>
      <c r="I74" s="42" t="s">
        <v>81</v>
      </c>
    </row>
    <row r="75" spans="1:9" ht="20.100000000000001" customHeight="1">
      <c r="A75" s="51">
        <v>46142</v>
      </c>
      <c r="B75" s="52" t="str">
        <f t="shared" si="3"/>
        <v>Q2 2026</v>
      </c>
      <c r="C75" s="52" t="s">
        <v>14</v>
      </c>
      <c r="D75" s="52" t="s">
        <v>44</v>
      </c>
      <c r="E75" s="52" t="s">
        <v>38</v>
      </c>
      <c r="F75" s="52" t="s">
        <v>34</v>
      </c>
      <c r="G75" s="52" t="s">
        <v>42</v>
      </c>
      <c r="H75" s="53">
        <v>6614.29</v>
      </c>
      <c r="I75" s="54" t="s">
        <v>49</v>
      </c>
    </row>
    <row r="76" spans="1:9" ht="20.100000000000001" customHeight="1">
      <c r="A76" s="51">
        <v>46142</v>
      </c>
      <c r="B76" s="52" t="str">
        <f t="shared" si="3"/>
        <v>Q2 2026</v>
      </c>
      <c r="C76" s="52" t="s">
        <v>14</v>
      </c>
      <c r="D76" s="52" t="s">
        <v>44</v>
      </c>
      <c r="E76" s="52" t="s">
        <v>38</v>
      </c>
      <c r="F76" s="52" t="s">
        <v>34</v>
      </c>
      <c r="G76" s="52" t="s">
        <v>42</v>
      </c>
      <c r="H76" s="53">
        <v>3968.57</v>
      </c>
      <c r="I76" s="54" t="s">
        <v>82</v>
      </c>
    </row>
    <row r="77" spans="1:9" ht="20.100000000000001" customHeight="1">
      <c r="A77" s="51">
        <v>46142</v>
      </c>
      <c r="B77" s="52" t="str">
        <f t="shared" si="3"/>
        <v>Q2 2026</v>
      </c>
      <c r="C77" s="52" t="s">
        <v>14</v>
      </c>
      <c r="D77" s="52" t="s">
        <v>44</v>
      </c>
      <c r="E77" s="52" t="s">
        <v>38</v>
      </c>
      <c r="F77" s="52" t="s">
        <v>34</v>
      </c>
      <c r="G77" s="52" t="s">
        <v>42</v>
      </c>
      <c r="H77" s="53">
        <v>2156.83</v>
      </c>
      <c r="I77" s="54" t="s">
        <v>83</v>
      </c>
    </row>
    <row r="78" spans="1:9" ht="20.100000000000001" customHeight="1">
      <c r="A78" s="43">
        <v>46142</v>
      </c>
      <c r="B78" s="44" t="str">
        <f t="shared" si="3"/>
        <v>Q2 2026</v>
      </c>
      <c r="C78" s="44" t="s">
        <v>18</v>
      </c>
      <c r="D78" s="44" t="s">
        <v>32</v>
      </c>
      <c r="E78" s="44" t="s">
        <v>38</v>
      </c>
      <c r="F78" s="44" t="s">
        <v>34</v>
      </c>
      <c r="G78" s="44" t="s">
        <v>35</v>
      </c>
      <c r="H78" s="45">
        <v>167.19</v>
      </c>
      <c r="I78" s="46" t="s">
        <v>84</v>
      </c>
    </row>
    <row r="79" spans="1:9" ht="20.100000000000001" customHeight="1">
      <c r="A79" s="51">
        <v>46142</v>
      </c>
      <c r="B79" s="52" t="str">
        <f t="shared" si="3"/>
        <v>Q2 2026</v>
      </c>
      <c r="C79" s="52" t="s">
        <v>14</v>
      </c>
      <c r="D79" s="52" t="s">
        <v>44</v>
      </c>
      <c r="E79" s="52" t="s">
        <v>38</v>
      </c>
      <c r="F79" s="52" t="s">
        <v>34</v>
      </c>
      <c r="G79" s="52" t="s">
        <v>35</v>
      </c>
      <c r="H79" s="53">
        <v>684.44</v>
      </c>
      <c r="I79" s="54" t="s">
        <v>85</v>
      </c>
    </row>
    <row r="80" spans="1:9" ht="20.100000000000001" customHeight="1">
      <c r="A80" s="51">
        <v>46142</v>
      </c>
      <c r="B80" s="52" t="str">
        <f t="shared" si="3"/>
        <v>Q2 2026</v>
      </c>
      <c r="C80" s="52" t="s">
        <v>14</v>
      </c>
      <c r="D80" s="52" t="s">
        <v>44</v>
      </c>
      <c r="E80" s="52" t="s">
        <v>38</v>
      </c>
      <c r="F80" s="52" t="s">
        <v>34</v>
      </c>
      <c r="G80" s="52" t="s">
        <v>35</v>
      </c>
      <c r="H80" s="53">
        <v>966.26</v>
      </c>
      <c r="I80" s="54" t="s">
        <v>86</v>
      </c>
    </row>
    <row r="81" spans="1:9" ht="20.100000000000001" customHeight="1">
      <c r="A81" s="51">
        <v>46142</v>
      </c>
      <c r="B81" s="52" t="str">
        <f t="shared" si="3"/>
        <v>Q2 2026</v>
      </c>
      <c r="C81" s="52" t="s">
        <v>13</v>
      </c>
      <c r="D81" s="52" t="s">
        <v>37</v>
      </c>
      <c r="E81" s="52" t="s">
        <v>38</v>
      </c>
      <c r="F81" s="52" t="s">
        <v>34</v>
      </c>
      <c r="G81" s="52" t="s">
        <v>50</v>
      </c>
      <c r="H81" s="53">
        <v>710.18</v>
      </c>
      <c r="I81" s="54" t="s">
        <v>51</v>
      </c>
    </row>
    <row r="82" spans="1:9" ht="20.100000000000001" customHeight="1">
      <c r="A82" s="51">
        <v>46142</v>
      </c>
      <c r="B82" s="52" t="str">
        <f t="shared" ref="B82:B84" si="4">"Q"&amp;ROUNDUP(MONTH(A82)/3,0)&amp;" "&amp;YEAR(A82)</f>
        <v>Q2 2026</v>
      </c>
      <c r="C82" s="52" t="s">
        <v>13</v>
      </c>
      <c r="D82" s="52" t="s">
        <v>37</v>
      </c>
      <c r="E82" s="52" t="s">
        <v>38</v>
      </c>
      <c r="F82" s="52" t="s">
        <v>34</v>
      </c>
      <c r="G82" s="52" t="s">
        <v>50</v>
      </c>
      <c r="H82" s="53">
        <v>101.17</v>
      </c>
      <c r="I82" s="54" t="s">
        <v>51</v>
      </c>
    </row>
    <row r="83" spans="1:9" ht="20.100000000000001" customHeight="1">
      <c r="A83" s="51">
        <v>46142</v>
      </c>
      <c r="B83" s="52" t="str">
        <f t="shared" si="4"/>
        <v>Q2 2026</v>
      </c>
      <c r="C83" s="52" t="s">
        <v>13</v>
      </c>
      <c r="D83" s="52" t="s">
        <v>37</v>
      </c>
      <c r="E83" s="52" t="s">
        <v>38</v>
      </c>
      <c r="F83" s="52" t="s">
        <v>34</v>
      </c>
      <c r="G83" s="52" t="s">
        <v>50</v>
      </c>
      <c r="H83" s="53">
        <v>202.45</v>
      </c>
      <c r="I83" s="54" t="s">
        <v>51</v>
      </c>
    </row>
    <row r="84" spans="1:9" ht="20.100000000000001" customHeight="1">
      <c r="A84" s="51">
        <v>46142</v>
      </c>
      <c r="B84" s="52" t="str">
        <f t="shared" si="4"/>
        <v>Q2 2026</v>
      </c>
      <c r="C84" s="52" t="s">
        <v>13</v>
      </c>
      <c r="D84" s="52" t="s">
        <v>37</v>
      </c>
      <c r="E84" s="52" t="s">
        <v>38</v>
      </c>
      <c r="F84" s="52" t="s">
        <v>34</v>
      </c>
      <c r="G84" s="52" t="s">
        <v>50</v>
      </c>
      <c r="H84" s="53">
        <v>303.70999999999998</v>
      </c>
      <c r="I84" s="54" t="s">
        <v>51</v>
      </c>
    </row>
    <row r="85" spans="1:9" ht="20.100000000000001" customHeight="1">
      <c r="A85" s="51">
        <v>46142</v>
      </c>
      <c r="B85" s="52" t="str">
        <f>"Q"&amp;ROUNDUP(MONTH(A85)/3,0)&amp;" "&amp;YEAR(A85)</f>
        <v>Q2 2026</v>
      </c>
      <c r="C85" s="52" t="s">
        <v>14</v>
      </c>
      <c r="D85" s="52" t="s">
        <v>44</v>
      </c>
      <c r="E85" s="52" t="s">
        <v>38</v>
      </c>
      <c r="F85" s="52" t="s">
        <v>34</v>
      </c>
      <c r="G85" s="52" t="s">
        <v>42</v>
      </c>
      <c r="H85" s="53">
        <v>3000</v>
      </c>
      <c r="I85" s="54" t="s">
        <v>87</v>
      </c>
    </row>
    <row r="86" spans="1:9" ht="20.100000000000001" customHeight="1">
      <c r="A86" s="51">
        <v>46142</v>
      </c>
      <c r="B86" s="52" t="str">
        <f>"Q"&amp;ROUNDUP(MONTH(A86)/3,0)&amp;" "&amp;YEAR(A86)</f>
        <v>Q2 2026</v>
      </c>
      <c r="C86" s="52" t="s">
        <v>14</v>
      </c>
      <c r="D86" s="44" t="s">
        <v>32</v>
      </c>
      <c r="E86" s="52" t="s">
        <v>38</v>
      </c>
      <c r="F86" s="52" t="s">
        <v>34</v>
      </c>
      <c r="G86" s="52" t="s">
        <v>42</v>
      </c>
      <c r="H86" s="53">
        <v>3968.57</v>
      </c>
      <c r="I86" s="54" t="s">
        <v>88</v>
      </c>
    </row>
    <row r="87" spans="1:9" ht="20.100000000000001" customHeight="1">
      <c r="A87" s="51">
        <v>46142</v>
      </c>
      <c r="B87" s="52" t="str">
        <f>"Q"&amp;ROUNDUP(MONTH(A87)/3,0)&amp;" "&amp;YEAR(A87)</f>
        <v>Q2 2026</v>
      </c>
      <c r="C87" s="52" t="s">
        <v>14</v>
      </c>
      <c r="D87" s="52" t="s">
        <v>44</v>
      </c>
      <c r="E87" s="52" t="s">
        <v>38</v>
      </c>
      <c r="F87" s="52" t="s">
        <v>34</v>
      </c>
      <c r="G87" s="52" t="s">
        <v>42</v>
      </c>
      <c r="H87" s="53">
        <v>6614.29</v>
      </c>
      <c r="I87" s="54" t="s">
        <v>49</v>
      </c>
    </row>
    <row r="88" spans="1:9" ht="20.100000000000001" customHeight="1">
      <c r="A88" s="43">
        <v>46153</v>
      </c>
      <c r="B88" s="44" t="str">
        <f>"Q"&amp;ROUNDUP(MONTH(A88)/3,0)&amp;" "&amp;YEAR(A88)</f>
        <v>Q2 2026</v>
      </c>
      <c r="C88" s="44" t="s">
        <v>16</v>
      </c>
      <c r="D88" s="44" t="s">
        <v>32</v>
      </c>
      <c r="E88" s="44" t="s">
        <v>60</v>
      </c>
      <c r="F88" s="44" t="s">
        <v>34</v>
      </c>
      <c r="G88" s="44" t="s">
        <v>50</v>
      </c>
      <c r="H88" s="45">
        <v>66.56</v>
      </c>
      <c r="I88" s="46" t="s">
        <v>89</v>
      </c>
    </row>
    <row r="89" spans="1:9" ht="20.100000000000001" customHeight="1">
      <c r="A89" s="47">
        <v>46153</v>
      </c>
      <c r="B89" s="48" t="str">
        <f>"Q"&amp;ROUNDUP(MONTH(A89)/3,0)&amp;" "&amp;YEAR(A89)</f>
        <v>Q2 2026</v>
      </c>
      <c r="C89" s="48" t="s">
        <v>16</v>
      </c>
      <c r="D89" s="48" t="s">
        <v>32</v>
      </c>
      <c r="E89" s="48" t="s">
        <v>60</v>
      </c>
      <c r="F89" s="48" t="s">
        <v>34</v>
      </c>
      <c r="G89" s="48" t="s">
        <v>50</v>
      </c>
      <c r="H89" s="49">
        <v>68.790000000000006</v>
      </c>
      <c r="I89" s="50" t="s">
        <v>89</v>
      </c>
    </row>
    <row r="90" spans="1:9" ht="20.100000000000001" customHeight="1">
      <c r="A90" s="47">
        <v>46154</v>
      </c>
      <c r="B90" s="48" t="str">
        <f>"Q"&amp;ROUNDUP(MONTH(A90)/3,0)&amp;" "&amp;YEAR(A90)</f>
        <v>Q2 2026</v>
      </c>
      <c r="C90" s="48" t="s">
        <v>16</v>
      </c>
      <c r="D90" s="48" t="s">
        <v>32</v>
      </c>
      <c r="E90" s="48" t="s">
        <v>60</v>
      </c>
      <c r="F90" s="48" t="s">
        <v>34</v>
      </c>
      <c r="G90" s="48" t="s">
        <v>50</v>
      </c>
      <c r="H90" s="49">
        <v>119.04</v>
      </c>
      <c r="I90" s="50" t="s">
        <v>90</v>
      </c>
    </row>
    <row r="91" spans="1:9">
      <c r="A91" s="31"/>
      <c r="B91" s="15"/>
      <c r="C91" s="15"/>
      <c r="D91" s="15"/>
      <c r="E91" s="15"/>
      <c r="F91" s="15"/>
      <c r="G91" s="15"/>
      <c r="H91" s="16"/>
      <c r="I91" s="26"/>
    </row>
    <row r="92" spans="1:9">
      <c r="A92" s="31"/>
      <c r="B92" s="15"/>
      <c r="C92" s="15"/>
      <c r="D92" s="15"/>
      <c r="E92" s="15"/>
      <c r="F92" s="15"/>
      <c r="G92" s="15"/>
      <c r="H92" s="16"/>
      <c r="I92" s="26"/>
    </row>
    <row r="93" spans="1:9">
      <c r="A93" s="31"/>
      <c r="B93" s="15"/>
      <c r="C93" s="15"/>
      <c r="D93" s="15"/>
      <c r="E93" s="15"/>
      <c r="F93" s="15"/>
      <c r="G93" s="15"/>
      <c r="H93" s="16"/>
      <c r="I93" s="26"/>
    </row>
    <row r="94" spans="1:9">
      <c r="A94" s="31"/>
      <c r="B94" s="15"/>
      <c r="C94" s="15"/>
      <c r="D94" s="15"/>
      <c r="E94" s="15"/>
      <c r="F94" s="15"/>
      <c r="G94" s="15"/>
      <c r="H94" s="16"/>
      <c r="I94" s="26"/>
    </row>
    <row r="95" spans="1:9">
      <c r="A95" s="31"/>
      <c r="B95" s="15"/>
      <c r="C95" s="15"/>
      <c r="D95" s="15"/>
      <c r="E95" s="15"/>
      <c r="F95" s="15"/>
      <c r="G95" s="15"/>
      <c r="H95" s="16"/>
      <c r="I95" s="26"/>
    </row>
    <row r="96" spans="1:9">
      <c r="A96" s="31"/>
      <c r="B96" s="15"/>
      <c r="C96" s="15"/>
      <c r="D96" s="15"/>
      <c r="E96" s="15"/>
      <c r="F96" s="15"/>
      <c r="G96" s="15"/>
      <c r="H96" s="16"/>
      <c r="I96" s="26"/>
    </row>
    <row r="97" spans="1:9">
      <c r="A97" s="31"/>
      <c r="B97" s="15"/>
      <c r="C97" s="15"/>
      <c r="D97" s="15"/>
      <c r="E97" s="15"/>
      <c r="F97" s="15"/>
      <c r="G97" s="15"/>
      <c r="H97" s="16"/>
      <c r="I97" s="26"/>
    </row>
    <row r="98" spans="1:9">
      <c r="A98" s="31"/>
      <c r="B98" s="15"/>
      <c r="C98" s="15"/>
      <c r="D98" s="15"/>
      <c r="E98" s="15"/>
      <c r="F98" s="15"/>
      <c r="G98" s="15"/>
      <c r="H98" s="16"/>
      <c r="I98" s="26"/>
    </row>
    <row r="99" spans="1:9">
      <c r="A99" s="31"/>
      <c r="B99" s="15"/>
      <c r="C99" s="15"/>
      <c r="D99" s="15"/>
      <c r="E99" s="15"/>
      <c r="F99" s="15"/>
      <c r="G99" s="15"/>
      <c r="H99" s="16"/>
      <c r="I99" s="26"/>
    </row>
    <row r="100" spans="1:9">
      <c r="A100" s="31"/>
      <c r="B100" s="15"/>
      <c r="C100" s="15"/>
      <c r="D100" s="15"/>
      <c r="E100" s="15"/>
      <c r="F100" s="15"/>
      <c r="G100" s="15"/>
      <c r="H100" s="16"/>
      <c r="I100" s="26"/>
    </row>
    <row r="101" spans="1:9">
      <c r="A101" s="31"/>
      <c r="B101" s="15"/>
      <c r="C101" s="15"/>
      <c r="D101" s="15"/>
      <c r="E101" s="15"/>
      <c r="F101" s="15"/>
      <c r="G101" s="15"/>
      <c r="H101" s="16"/>
      <c r="I101" s="26"/>
    </row>
    <row r="102" spans="1:9">
      <c r="A102" s="31"/>
      <c r="B102" s="15"/>
      <c r="C102" s="15"/>
      <c r="D102" s="15"/>
      <c r="E102" s="15"/>
      <c r="F102" s="15"/>
      <c r="G102" s="15"/>
      <c r="H102" s="16"/>
      <c r="I102" s="26"/>
    </row>
    <row r="103" spans="1:9">
      <c r="A103" s="31"/>
      <c r="B103" s="15"/>
      <c r="C103" s="15"/>
      <c r="D103" s="15"/>
      <c r="E103" s="15"/>
      <c r="F103" s="15"/>
      <c r="G103" s="15"/>
      <c r="H103" s="16"/>
      <c r="I103" s="26"/>
    </row>
    <row r="104" spans="1:9">
      <c r="A104" s="31"/>
      <c r="B104" s="15"/>
      <c r="C104" s="15"/>
      <c r="D104" s="15"/>
      <c r="E104" s="15"/>
      <c r="F104" s="15"/>
      <c r="G104" s="15"/>
      <c r="H104" s="16"/>
      <c r="I104" s="26"/>
    </row>
    <row r="105" spans="1:9">
      <c r="A105" s="31"/>
      <c r="B105" s="15"/>
      <c r="C105" s="15"/>
      <c r="D105" s="15"/>
      <c r="E105" s="15"/>
      <c r="F105" s="15"/>
      <c r="G105" s="15"/>
      <c r="H105" s="16"/>
      <c r="I105" s="26"/>
    </row>
    <row r="106" spans="1:9">
      <c r="A106" s="31"/>
      <c r="B106" s="15"/>
      <c r="C106" s="15"/>
      <c r="D106" s="15"/>
      <c r="E106" s="15"/>
      <c r="F106" s="15"/>
      <c r="G106" s="15"/>
      <c r="H106" s="16"/>
      <c r="I106" s="26"/>
    </row>
    <row r="107" spans="1:9">
      <c r="A107" s="31"/>
      <c r="B107" s="15"/>
      <c r="C107" s="15"/>
      <c r="D107" s="15"/>
      <c r="E107" s="15"/>
      <c r="F107" s="15"/>
      <c r="G107" s="15"/>
      <c r="H107" s="16"/>
      <c r="I107" s="26"/>
    </row>
    <row r="108" spans="1:9">
      <c r="A108" s="31"/>
      <c r="B108" s="15"/>
      <c r="C108" s="15"/>
      <c r="D108" s="15"/>
      <c r="E108" s="15"/>
      <c r="F108" s="15"/>
      <c r="G108" s="15"/>
      <c r="H108" s="16"/>
      <c r="I108" s="26"/>
    </row>
    <row r="109" spans="1:9">
      <c r="A109" s="31"/>
      <c r="B109" s="15"/>
      <c r="C109" s="15"/>
      <c r="D109" s="15"/>
      <c r="E109" s="15"/>
      <c r="F109" s="15"/>
      <c r="G109" s="15"/>
      <c r="H109" s="16"/>
      <c r="I109" s="26"/>
    </row>
    <row r="110" spans="1:9">
      <c r="A110" s="31"/>
      <c r="B110" s="15"/>
      <c r="C110" s="15"/>
      <c r="D110" s="15"/>
      <c r="E110" s="15"/>
      <c r="F110" s="15"/>
      <c r="G110" s="15"/>
      <c r="H110" s="16"/>
      <c r="I110" s="26"/>
    </row>
    <row r="111" spans="1:9">
      <c r="A111" s="31"/>
      <c r="B111" s="15"/>
      <c r="C111" s="15"/>
      <c r="D111" s="15"/>
      <c r="E111" s="15"/>
      <c r="F111" s="15"/>
      <c r="G111" s="15"/>
      <c r="H111" s="16"/>
      <c r="I111" s="26"/>
    </row>
    <row r="112" spans="1:9">
      <c r="A112" s="31"/>
      <c r="B112" s="15"/>
      <c r="C112" s="15"/>
      <c r="D112" s="15"/>
      <c r="E112" s="15"/>
      <c r="F112" s="15"/>
      <c r="G112" s="15"/>
      <c r="H112" s="16"/>
      <c r="I112" s="26"/>
    </row>
    <row r="113" spans="1:9">
      <c r="A113" s="31"/>
      <c r="B113" s="15"/>
      <c r="C113" s="15"/>
      <c r="D113" s="15"/>
      <c r="E113" s="15"/>
      <c r="F113" s="15"/>
      <c r="G113" s="15"/>
      <c r="H113" s="16"/>
      <c r="I113" s="26"/>
    </row>
    <row r="114" spans="1:9">
      <c r="A114" s="31"/>
      <c r="B114" s="15"/>
      <c r="C114" s="15"/>
      <c r="D114" s="15"/>
      <c r="E114" s="15"/>
      <c r="F114" s="15"/>
      <c r="G114" s="15"/>
      <c r="H114" s="16"/>
      <c r="I114" s="26"/>
    </row>
    <row r="115" spans="1:9">
      <c r="A115" s="31"/>
      <c r="B115" s="15"/>
      <c r="C115" s="15"/>
      <c r="D115" s="15"/>
      <c r="E115" s="15"/>
      <c r="F115" s="15"/>
      <c r="G115" s="15"/>
      <c r="H115" s="16"/>
      <c r="I115" s="26"/>
    </row>
    <row r="116" spans="1:9">
      <c r="A116" s="31"/>
      <c r="B116" s="15"/>
      <c r="C116" s="15"/>
      <c r="D116" s="15"/>
      <c r="E116" s="15"/>
      <c r="F116" s="15"/>
      <c r="G116" s="15"/>
      <c r="H116" s="16"/>
      <c r="I116" s="26"/>
    </row>
    <row r="117" spans="1:9">
      <c r="A117" s="31"/>
      <c r="B117" s="15"/>
      <c r="C117" s="15"/>
      <c r="D117" s="15"/>
      <c r="E117" s="15"/>
      <c r="F117" s="15"/>
      <c r="G117" s="15"/>
      <c r="H117" s="16"/>
      <c r="I117" s="26"/>
    </row>
    <row r="118" spans="1:9">
      <c r="A118" s="31"/>
      <c r="B118" s="15"/>
      <c r="C118" s="15"/>
      <c r="D118" s="15"/>
      <c r="E118" s="15"/>
      <c r="F118" s="15"/>
      <c r="G118" s="15"/>
      <c r="H118" s="16"/>
      <c r="I118" s="26"/>
    </row>
    <row r="119" spans="1:9">
      <c r="A119" s="31"/>
      <c r="B119" s="15"/>
      <c r="C119" s="15"/>
      <c r="D119" s="15"/>
      <c r="E119" s="15"/>
      <c r="F119" s="15"/>
      <c r="G119" s="15"/>
      <c r="H119" s="16"/>
      <c r="I119" s="26"/>
    </row>
    <row r="120" spans="1:9">
      <c r="A120" s="31"/>
      <c r="B120" s="15"/>
      <c r="C120" s="15"/>
      <c r="D120" s="15"/>
      <c r="E120" s="15"/>
      <c r="F120" s="15"/>
      <c r="G120" s="15"/>
      <c r="H120" s="16"/>
      <c r="I120" s="26"/>
    </row>
    <row r="121" spans="1:9">
      <c r="A121" s="31"/>
      <c r="B121" s="15"/>
      <c r="C121" s="15"/>
      <c r="D121" s="15"/>
      <c r="E121" s="15"/>
      <c r="F121" s="15"/>
      <c r="G121" s="15"/>
      <c r="H121" s="16"/>
      <c r="I121" s="26"/>
    </row>
    <row r="122" spans="1:9">
      <c r="A122" s="31"/>
      <c r="B122" s="15"/>
      <c r="C122" s="15"/>
      <c r="D122" s="15"/>
      <c r="E122" s="15"/>
      <c r="F122" s="15"/>
      <c r="G122" s="15"/>
      <c r="H122" s="16"/>
      <c r="I122" s="26"/>
    </row>
    <row r="123" spans="1:9">
      <c r="A123" s="31"/>
      <c r="B123" s="15"/>
      <c r="C123" s="15"/>
      <c r="D123" s="15"/>
      <c r="E123" s="15"/>
      <c r="F123" s="15"/>
      <c r="G123" s="15"/>
      <c r="H123" s="16"/>
      <c r="I123" s="26"/>
    </row>
    <row r="124" spans="1:9">
      <c r="A124" s="31"/>
      <c r="B124" s="15"/>
      <c r="C124" s="15"/>
      <c r="D124" s="15"/>
      <c r="E124" s="15"/>
      <c r="F124" s="15"/>
      <c r="G124" s="15"/>
      <c r="H124" s="16"/>
      <c r="I124" s="26"/>
    </row>
    <row r="125" spans="1:9">
      <c r="A125" s="31"/>
      <c r="B125" s="15"/>
      <c r="C125" s="15"/>
      <c r="D125" s="15"/>
      <c r="E125" s="15"/>
      <c r="F125" s="15"/>
      <c r="G125" s="15"/>
      <c r="H125" s="16"/>
      <c r="I125" s="26"/>
    </row>
    <row r="126" spans="1:9">
      <c r="A126" s="31"/>
      <c r="B126" s="15"/>
      <c r="C126" s="15"/>
      <c r="D126" s="15"/>
      <c r="E126" s="15"/>
      <c r="F126" s="15"/>
      <c r="G126" s="15"/>
      <c r="H126" s="16"/>
      <c r="I126" s="26"/>
    </row>
    <row r="127" spans="1:9">
      <c r="A127" s="31"/>
      <c r="B127" s="15"/>
      <c r="C127" s="15"/>
      <c r="D127" s="15"/>
      <c r="E127" s="15"/>
      <c r="F127" s="15"/>
      <c r="G127" s="15"/>
      <c r="H127" s="16"/>
      <c r="I127" s="26"/>
    </row>
    <row r="128" spans="1:9">
      <c r="A128" s="31"/>
      <c r="B128" s="15"/>
      <c r="C128" s="15"/>
      <c r="D128" s="15"/>
      <c r="E128" s="15"/>
      <c r="F128" s="15"/>
      <c r="G128" s="15"/>
      <c r="H128" s="16"/>
      <c r="I128" s="26"/>
    </row>
    <row r="129" spans="1:9">
      <c r="A129" s="31"/>
      <c r="B129" s="15"/>
      <c r="C129" s="15"/>
      <c r="D129" s="15"/>
      <c r="E129" s="15"/>
      <c r="F129" s="15"/>
      <c r="G129" s="15"/>
      <c r="H129" s="16"/>
      <c r="I129" s="26"/>
    </row>
    <row r="130" spans="1:9">
      <c r="A130" s="31"/>
      <c r="B130" s="15"/>
      <c r="C130" s="15"/>
      <c r="D130" s="15"/>
      <c r="E130" s="15"/>
      <c r="F130" s="15"/>
      <c r="G130" s="15"/>
      <c r="H130" s="16"/>
      <c r="I130" s="26"/>
    </row>
    <row r="131" spans="1:9">
      <c r="A131" s="31"/>
      <c r="B131" s="15"/>
      <c r="C131" s="15"/>
      <c r="D131" s="15"/>
      <c r="E131" s="15"/>
      <c r="F131" s="15"/>
      <c r="G131" s="15"/>
      <c r="H131" s="16"/>
      <c r="I131" s="26"/>
    </row>
    <row r="132" spans="1:9">
      <c r="A132" s="31"/>
      <c r="B132" s="15"/>
      <c r="C132" s="15"/>
      <c r="D132" s="15"/>
      <c r="E132" s="15"/>
      <c r="F132" s="15"/>
      <c r="G132" s="15"/>
      <c r="H132" s="16"/>
      <c r="I132" s="26"/>
    </row>
    <row r="133" spans="1:9">
      <c r="A133" s="31"/>
      <c r="B133" s="15"/>
      <c r="C133" s="15"/>
      <c r="D133" s="15"/>
      <c r="E133" s="15"/>
      <c r="F133" s="15"/>
      <c r="G133" s="15"/>
      <c r="H133" s="16"/>
      <c r="I133" s="26"/>
    </row>
    <row r="134" spans="1:9">
      <c r="A134" s="31"/>
      <c r="B134" s="15"/>
      <c r="C134" s="15"/>
      <c r="D134" s="15"/>
      <c r="E134" s="15"/>
      <c r="F134" s="15"/>
      <c r="G134" s="15"/>
      <c r="H134" s="16"/>
      <c r="I134" s="26"/>
    </row>
    <row r="135" spans="1:9">
      <c r="A135" s="31"/>
      <c r="B135" s="15"/>
      <c r="C135" s="15"/>
      <c r="D135" s="15"/>
      <c r="E135" s="15"/>
      <c r="F135" s="15"/>
      <c r="G135" s="15"/>
      <c r="H135" s="16"/>
      <c r="I135" s="26"/>
    </row>
    <row r="136" spans="1:9">
      <c r="A136" s="31"/>
      <c r="B136" s="15"/>
      <c r="C136" s="15"/>
      <c r="D136" s="15"/>
      <c r="E136" s="15"/>
      <c r="F136" s="15"/>
      <c r="G136" s="15"/>
      <c r="H136" s="16"/>
      <c r="I136" s="26"/>
    </row>
    <row r="137" spans="1:9">
      <c r="A137" s="31"/>
      <c r="B137" s="15"/>
      <c r="C137" s="15"/>
      <c r="D137" s="15"/>
      <c r="E137" s="15"/>
      <c r="F137" s="15"/>
      <c r="G137" s="15"/>
      <c r="H137" s="16"/>
      <c r="I137" s="26"/>
    </row>
    <row r="138" spans="1:9">
      <c r="A138" s="31"/>
      <c r="B138" s="15"/>
      <c r="C138" s="15"/>
      <c r="D138" s="15"/>
      <c r="E138" s="15"/>
      <c r="F138" s="15"/>
      <c r="G138" s="15"/>
      <c r="H138" s="16"/>
      <c r="I138" s="26"/>
    </row>
    <row r="139" spans="1:9">
      <c r="A139" s="31"/>
      <c r="B139" s="15"/>
      <c r="C139" s="15"/>
      <c r="D139" s="15"/>
      <c r="E139" s="15"/>
      <c r="F139" s="15"/>
      <c r="G139" s="15"/>
      <c r="H139" s="16"/>
      <c r="I139" s="26"/>
    </row>
    <row r="140" spans="1:9">
      <c r="A140" s="31"/>
      <c r="B140" s="15"/>
      <c r="C140" s="15"/>
      <c r="D140" s="15"/>
      <c r="E140" s="15"/>
      <c r="F140" s="15"/>
      <c r="G140" s="15"/>
      <c r="H140" s="16"/>
      <c r="I140" s="26"/>
    </row>
    <row r="141" spans="1:9">
      <c r="A141" s="31"/>
      <c r="B141" s="15"/>
      <c r="C141" s="15"/>
      <c r="D141" s="15"/>
      <c r="E141" s="15"/>
      <c r="F141" s="15"/>
      <c r="G141" s="15"/>
      <c r="H141" s="16"/>
      <c r="I141" s="26"/>
    </row>
    <row r="142" spans="1:9">
      <c r="A142" s="31"/>
      <c r="B142" s="15"/>
      <c r="C142" s="15"/>
      <c r="D142" s="15"/>
      <c r="E142" s="15"/>
      <c r="F142" s="15"/>
      <c r="G142" s="15"/>
      <c r="H142" s="16"/>
      <c r="I142" s="26"/>
    </row>
    <row r="143" spans="1:9">
      <c r="A143" s="31"/>
      <c r="B143" s="15"/>
      <c r="C143" s="15"/>
      <c r="D143" s="15"/>
      <c r="E143" s="15"/>
      <c r="F143" s="15"/>
      <c r="G143" s="15"/>
      <c r="H143" s="16"/>
      <c r="I143" s="26"/>
    </row>
    <row r="144" spans="1:9">
      <c r="A144" s="31"/>
      <c r="B144" s="15"/>
      <c r="C144" s="15"/>
      <c r="D144" s="15"/>
      <c r="E144" s="15"/>
      <c r="F144" s="15"/>
      <c r="G144" s="15"/>
      <c r="H144" s="16"/>
      <c r="I144" s="26"/>
    </row>
    <row r="145" spans="1:9">
      <c r="A145" s="31"/>
      <c r="B145" s="15"/>
      <c r="C145" s="15"/>
      <c r="D145" s="15"/>
      <c r="E145" s="15"/>
      <c r="F145" s="15"/>
      <c r="G145" s="15"/>
      <c r="H145" s="16"/>
      <c r="I145" s="26"/>
    </row>
    <row r="146" spans="1:9">
      <c r="A146" s="31"/>
      <c r="B146" s="15"/>
      <c r="C146" s="15"/>
      <c r="D146" s="15"/>
      <c r="E146" s="15"/>
      <c r="F146" s="15"/>
      <c r="G146" s="15"/>
      <c r="H146" s="16"/>
      <c r="I146" s="26"/>
    </row>
    <row r="147" spans="1:9">
      <c r="A147" s="31"/>
      <c r="B147" s="15"/>
      <c r="C147" s="15"/>
      <c r="D147" s="15"/>
      <c r="E147" s="15"/>
      <c r="F147" s="15"/>
      <c r="G147" s="15"/>
      <c r="H147" s="16"/>
      <c r="I147" s="26"/>
    </row>
    <row r="148" spans="1:9">
      <c r="A148" s="31"/>
      <c r="B148" s="15"/>
      <c r="C148" s="15"/>
      <c r="D148" s="15"/>
      <c r="E148" s="15"/>
      <c r="F148" s="15"/>
      <c r="G148" s="15"/>
      <c r="H148" s="16"/>
      <c r="I148" s="26"/>
    </row>
    <row r="149" spans="1:9">
      <c r="A149" s="31"/>
      <c r="B149" s="15"/>
      <c r="C149" s="15"/>
      <c r="D149" s="15"/>
      <c r="E149" s="15"/>
      <c r="F149" s="15"/>
      <c r="G149" s="15"/>
      <c r="H149" s="16"/>
      <c r="I149" s="26"/>
    </row>
    <row r="150" spans="1:9">
      <c r="A150" s="31"/>
      <c r="B150" s="15"/>
      <c r="C150" s="15"/>
      <c r="D150" s="15"/>
      <c r="E150" s="15"/>
      <c r="F150" s="15"/>
      <c r="G150" s="15"/>
      <c r="H150" s="16"/>
      <c r="I150" s="26"/>
    </row>
    <row r="151" spans="1:9">
      <c r="A151" s="31"/>
      <c r="B151" s="15"/>
      <c r="C151" s="15"/>
      <c r="D151" s="15"/>
      <c r="E151" s="15"/>
      <c r="F151" s="15"/>
      <c r="G151" s="15"/>
      <c r="H151" s="16"/>
      <c r="I151" s="26"/>
    </row>
    <row r="152" spans="1:9">
      <c r="A152" s="31"/>
      <c r="B152" s="15"/>
      <c r="C152" s="15"/>
      <c r="D152" s="15"/>
      <c r="E152" s="15"/>
      <c r="F152" s="15"/>
      <c r="G152" s="15"/>
      <c r="H152" s="16"/>
      <c r="I152" s="26"/>
    </row>
    <row r="153" spans="1:9">
      <c r="A153" s="31"/>
      <c r="B153" s="15"/>
      <c r="C153" s="15"/>
      <c r="D153" s="15"/>
      <c r="E153" s="15"/>
      <c r="F153" s="15"/>
      <c r="G153" s="15"/>
      <c r="H153" s="16"/>
      <c r="I153" s="26"/>
    </row>
    <row r="154" spans="1:9">
      <c r="A154" s="31"/>
      <c r="B154" s="15"/>
      <c r="C154" s="15"/>
      <c r="D154" s="15"/>
      <c r="E154" s="15"/>
      <c r="F154" s="15"/>
      <c r="G154" s="15"/>
      <c r="H154" s="16"/>
      <c r="I154" s="26"/>
    </row>
    <row r="155" spans="1:9">
      <c r="A155" s="31"/>
      <c r="B155" s="15"/>
      <c r="C155" s="15"/>
      <c r="D155" s="15"/>
      <c r="E155" s="15"/>
      <c r="F155" s="15"/>
      <c r="G155" s="15"/>
      <c r="H155" s="16"/>
      <c r="I155" s="26"/>
    </row>
    <row r="156" spans="1:9">
      <c r="A156" s="31"/>
      <c r="B156" s="15"/>
      <c r="C156" s="15"/>
      <c r="D156" s="15"/>
      <c r="E156" s="15"/>
      <c r="F156" s="15"/>
      <c r="G156" s="15"/>
      <c r="H156" s="16"/>
      <c r="I156" s="26"/>
    </row>
    <row r="157" spans="1:9">
      <c r="A157" s="31"/>
      <c r="B157" s="15"/>
      <c r="C157" s="15"/>
      <c r="D157" s="15"/>
      <c r="E157" s="15"/>
      <c r="F157" s="15"/>
      <c r="G157" s="15"/>
      <c r="H157" s="16"/>
      <c r="I157" s="26"/>
    </row>
    <row r="158" spans="1:9">
      <c r="A158" s="31"/>
      <c r="B158" s="15"/>
      <c r="C158" s="15"/>
      <c r="D158" s="15"/>
      <c r="E158" s="15"/>
      <c r="F158" s="15"/>
      <c r="G158" s="15"/>
      <c r="H158" s="16"/>
      <c r="I158" s="26"/>
    </row>
    <row r="159" spans="1:9">
      <c r="A159" s="31"/>
      <c r="B159" s="15"/>
      <c r="C159" s="15"/>
      <c r="D159" s="15"/>
      <c r="E159" s="15"/>
      <c r="F159" s="15"/>
      <c r="G159" s="15"/>
      <c r="H159" s="16"/>
      <c r="I159" s="26"/>
    </row>
    <row r="160" spans="1:9">
      <c r="A160" s="31"/>
      <c r="B160" s="15"/>
      <c r="C160" s="15"/>
      <c r="D160" s="15"/>
      <c r="E160" s="15"/>
      <c r="F160" s="15"/>
      <c r="G160" s="15"/>
      <c r="H160" s="16"/>
      <c r="I160" s="26"/>
    </row>
    <row r="161" spans="1:9">
      <c r="A161" s="31"/>
      <c r="B161" s="15"/>
      <c r="C161" s="15"/>
      <c r="D161" s="15"/>
      <c r="E161" s="15"/>
      <c r="F161" s="15"/>
      <c r="G161" s="15"/>
      <c r="H161" s="16"/>
      <c r="I161" s="26"/>
    </row>
    <row r="162" spans="1:9">
      <c r="A162" s="31"/>
      <c r="B162" s="15"/>
      <c r="C162" s="15"/>
      <c r="D162" s="15"/>
      <c r="E162" s="15"/>
      <c r="F162" s="15"/>
      <c r="G162" s="15"/>
      <c r="H162" s="16"/>
      <c r="I162" s="26"/>
    </row>
    <row r="163" spans="1:9">
      <c r="A163" s="31"/>
      <c r="B163" s="15"/>
      <c r="C163" s="15"/>
      <c r="D163" s="15"/>
      <c r="E163" s="15"/>
      <c r="F163" s="15"/>
      <c r="G163" s="15"/>
      <c r="H163" s="16"/>
      <c r="I163" s="26"/>
    </row>
    <row r="164" spans="1:9">
      <c r="A164" s="31"/>
      <c r="B164" s="15"/>
      <c r="C164" s="15"/>
      <c r="D164" s="15"/>
      <c r="E164" s="15"/>
      <c r="F164" s="15"/>
      <c r="G164" s="15"/>
      <c r="H164" s="16"/>
      <c r="I164" s="26"/>
    </row>
    <row r="165" spans="1:9">
      <c r="A165" s="31"/>
      <c r="B165" s="15"/>
      <c r="C165" s="15"/>
      <c r="D165" s="15"/>
      <c r="E165" s="15"/>
      <c r="F165" s="15"/>
      <c r="G165" s="15"/>
      <c r="H165" s="16"/>
      <c r="I165" s="26"/>
    </row>
    <row r="166" spans="1:9">
      <c r="A166" s="31"/>
      <c r="B166" s="15"/>
      <c r="C166" s="15"/>
      <c r="D166" s="15"/>
      <c r="E166" s="15"/>
      <c r="F166" s="15"/>
      <c r="G166" s="15"/>
      <c r="H166" s="16"/>
      <c r="I166" s="26"/>
    </row>
    <row r="167" spans="1:9">
      <c r="A167" s="31"/>
      <c r="B167" s="15"/>
      <c r="C167" s="15"/>
      <c r="D167" s="15"/>
      <c r="E167" s="15"/>
      <c r="F167" s="15"/>
      <c r="G167" s="15"/>
      <c r="H167" s="16"/>
      <c r="I167" s="26"/>
    </row>
    <row r="168" spans="1:9">
      <c r="A168" s="31"/>
      <c r="B168" s="15"/>
      <c r="C168" s="15"/>
      <c r="D168" s="15"/>
      <c r="E168" s="15"/>
      <c r="F168" s="15"/>
      <c r="G168" s="15"/>
      <c r="H168" s="16"/>
      <c r="I168" s="26"/>
    </row>
    <row r="169" spans="1:9">
      <c r="A169" s="31"/>
      <c r="B169" s="15"/>
      <c r="C169" s="15"/>
      <c r="D169" s="15"/>
      <c r="E169" s="15"/>
      <c r="F169" s="15"/>
      <c r="G169" s="15"/>
      <c r="H169" s="16"/>
      <c r="I169" s="26"/>
    </row>
    <row r="170" spans="1:9">
      <c r="A170" s="31"/>
      <c r="B170" s="15"/>
      <c r="C170" s="15"/>
      <c r="D170" s="15"/>
      <c r="E170" s="15"/>
      <c r="F170" s="15"/>
      <c r="G170" s="15"/>
      <c r="H170" s="16"/>
      <c r="I170" s="26"/>
    </row>
    <row r="171" spans="1:9">
      <c r="A171" s="31"/>
      <c r="B171" s="15"/>
      <c r="C171" s="15"/>
      <c r="D171" s="15"/>
      <c r="E171" s="15"/>
      <c r="F171" s="15"/>
      <c r="G171" s="15"/>
      <c r="H171" s="16"/>
      <c r="I171" s="26"/>
    </row>
    <row r="172" spans="1:9">
      <c r="A172" s="31"/>
      <c r="B172" s="15"/>
      <c r="C172" s="15"/>
      <c r="D172" s="15"/>
      <c r="E172" s="15"/>
      <c r="F172" s="15"/>
      <c r="G172" s="15"/>
      <c r="H172" s="16"/>
      <c r="I172" s="26"/>
    </row>
    <row r="173" spans="1:9">
      <c r="A173" s="31"/>
      <c r="B173" s="15"/>
      <c r="C173" s="15"/>
      <c r="D173" s="15"/>
      <c r="E173" s="15"/>
      <c r="F173" s="15"/>
      <c r="G173" s="15"/>
      <c r="H173" s="16"/>
      <c r="I173" s="26"/>
    </row>
    <row r="174" spans="1:9">
      <c r="A174" s="31"/>
      <c r="B174" s="15"/>
      <c r="C174" s="15"/>
      <c r="D174" s="15"/>
      <c r="E174" s="15"/>
      <c r="F174" s="15"/>
      <c r="G174" s="15"/>
      <c r="H174" s="16"/>
      <c r="I174" s="26"/>
    </row>
    <row r="175" spans="1:9">
      <c r="A175" s="31"/>
      <c r="B175" s="15"/>
      <c r="C175" s="15"/>
      <c r="D175" s="15"/>
      <c r="E175" s="15"/>
      <c r="F175" s="15"/>
      <c r="G175" s="15"/>
      <c r="H175" s="16"/>
      <c r="I175" s="26"/>
    </row>
    <row r="176" spans="1:9">
      <c r="A176" s="31"/>
      <c r="B176" s="15"/>
      <c r="C176" s="15"/>
      <c r="D176" s="15"/>
      <c r="E176" s="15"/>
      <c r="F176" s="15"/>
      <c r="G176" s="15"/>
      <c r="H176" s="16"/>
      <c r="I176" s="26"/>
    </row>
    <row r="177" spans="1:9">
      <c r="A177" s="31"/>
      <c r="B177" s="15"/>
      <c r="C177" s="15"/>
      <c r="D177" s="15"/>
      <c r="E177" s="15"/>
      <c r="F177" s="15"/>
      <c r="G177" s="15"/>
      <c r="H177" s="16"/>
      <c r="I177" s="26"/>
    </row>
    <row r="178" spans="1:9">
      <c r="A178" s="31"/>
      <c r="B178" s="15"/>
      <c r="C178" s="15"/>
      <c r="D178" s="15"/>
      <c r="E178" s="15"/>
      <c r="F178" s="15"/>
      <c r="G178" s="15"/>
      <c r="H178" s="16"/>
      <c r="I178" s="26"/>
    </row>
    <row r="179" spans="1:9">
      <c r="A179" s="31"/>
      <c r="B179" s="15"/>
      <c r="C179" s="15"/>
      <c r="D179" s="15"/>
      <c r="E179" s="15"/>
      <c r="F179" s="15"/>
      <c r="G179" s="15"/>
      <c r="H179" s="16"/>
      <c r="I179" s="26"/>
    </row>
    <row r="180" spans="1:9">
      <c r="A180" s="31"/>
      <c r="B180" s="15"/>
      <c r="C180" s="15"/>
      <c r="D180" s="15"/>
      <c r="E180" s="15"/>
      <c r="F180" s="15"/>
      <c r="G180" s="15"/>
      <c r="H180" s="16"/>
      <c r="I180" s="26"/>
    </row>
    <row r="181" spans="1:9">
      <c r="A181" s="31"/>
      <c r="B181" s="15"/>
      <c r="C181" s="15"/>
      <c r="D181" s="15"/>
      <c r="E181" s="15"/>
      <c r="F181" s="15"/>
      <c r="G181" s="15"/>
      <c r="H181" s="16"/>
      <c r="I181" s="26"/>
    </row>
    <row r="182" spans="1:9">
      <c r="A182" s="31"/>
      <c r="B182" s="15"/>
      <c r="C182" s="15"/>
      <c r="D182" s="15"/>
      <c r="E182" s="15"/>
      <c r="F182" s="15"/>
      <c r="G182" s="15"/>
      <c r="H182" s="16"/>
      <c r="I182" s="26"/>
    </row>
    <row r="183" spans="1:9">
      <c r="A183" s="31"/>
      <c r="B183" s="15"/>
      <c r="C183" s="15"/>
      <c r="D183" s="15"/>
      <c r="E183" s="15"/>
      <c r="F183" s="15"/>
      <c r="G183" s="15"/>
      <c r="H183" s="16"/>
      <c r="I183" s="26"/>
    </row>
    <row r="184" spans="1:9">
      <c r="A184" s="31"/>
      <c r="B184" s="15"/>
      <c r="C184" s="15"/>
      <c r="D184" s="15"/>
      <c r="E184" s="15"/>
      <c r="F184" s="15"/>
      <c r="G184" s="15"/>
      <c r="H184" s="16"/>
      <c r="I184" s="26"/>
    </row>
    <row r="185" spans="1:9">
      <c r="A185" s="31"/>
      <c r="B185" s="15"/>
      <c r="C185" s="15"/>
      <c r="D185" s="15"/>
      <c r="E185" s="15"/>
      <c r="F185" s="15"/>
      <c r="G185" s="15"/>
      <c r="H185" s="16"/>
      <c r="I185" s="26"/>
    </row>
    <row r="186" spans="1:9">
      <c r="A186" s="31"/>
      <c r="B186" s="15"/>
      <c r="C186" s="15"/>
      <c r="D186" s="15"/>
      <c r="E186" s="15"/>
      <c r="F186" s="15"/>
      <c r="G186" s="15"/>
      <c r="H186" s="16"/>
      <c r="I186" s="26"/>
    </row>
    <row r="187" spans="1:9">
      <c r="A187" s="31"/>
      <c r="B187" s="15"/>
      <c r="C187" s="15"/>
      <c r="D187" s="15"/>
      <c r="E187" s="15"/>
      <c r="F187" s="15"/>
      <c r="G187" s="15"/>
      <c r="H187" s="16"/>
      <c r="I187" s="26"/>
    </row>
    <row r="188" spans="1:9">
      <c r="A188" s="31"/>
      <c r="B188" s="15"/>
      <c r="C188" s="15"/>
      <c r="D188" s="15"/>
      <c r="E188" s="15"/>
      <c r="F188" s="15"/>
      <c r="G188" s="15"/>
      <c r="H188" s="16"/>
      <c r="I188" s="26"/>
    </row>
    <row r="189" spans="1:9">
      <c r="A189" s="31"/>
      <c r="B189" s="15"/>
      <c r="C189" s="15"/>
      <c r="D189" s="15"/>
      <c r="E189" s="15"/>
      <c r="F189" s="15"/>
      <c r="G189" s="15"/>
      <c r="H189" s="16"/>
      <c r="I189" s="26"/>
    </row>
    <row r="190" spans="1:9">
      <c r="A190" s="31"/>
      <c r="B190" s="15"/>
      <c r="C190" s="15"/>
      <c r="D190" s="15"/>
      <c r="E190" s="15"/>
      <c r="F190" s="15"/>
      <c r="G190" s="15"/>
      <c r="H190" s="16"/>
      <c r="I190" s="26"/>
    </row>
    <row r="191" spans="1:9">
      <c r="A191" s="31"/>
      <c r="B191" s="15"/>
      <c r="C191" s="15"/>
      <c r="D191" s="15"/>
      <c r="E191" s="15"/>
      <c r="F191" s="15"/>
      <c r="G191" s="15"/>
      <c r="H191" s="16"/>
      <c r="I191" s="26"/>
    </row>
    <row r="192" spans="1:9">
      <c r="A192" s="31"/>
      <c r="B192" s="15"/>
      <c r="C192" s="15"/>
      <c r="D192" s="15"/>
      <c r="E192" s="15"/>
      <c r="F192" s="15"/>
      <c r="G192" s="15"/>
      <c r="H192" s="16"/>
      <c r="I192" s="26"/>
    </row>
    <row r="193" spans="1:9">
      <c r="A193" s="31"/>
      <c r="B193" s="15"/>
      <c r="C193" s="15"/>
      <c r="D193" s="15"/>
      <c r="E193" s="15"/>
      <c r="F193" s="15"/>
      <c r="G193" s="15"/>
      <c r="H193" s="16"/>
      <c r="I193" s="26"/>
    </row>
    <row r="194" spans="1:9">
      <c r="A194" s="31"/>
      <c r="B194" s="15"/>
      <c r="C194" s="15"/>
      <c r="D194" s="15"/>
      <c r="E194" s="15"/>
      <c r="F194" s="15"/>
      <c r="G194" s="15"/>
      <c r="H194" s="16"/>
      <c r="I194" s="26"/>
    </row>
    <row r="195" spans="1:9">
      <c r="A195" s="31"/>
      <c r="B195" s="15"/>
      <c r="C195" s="15"/>
      <c r="D195" s="15"/>
      <c r="E195" s="15"/>
      <c r="F195" s="15"/>
      <c r="G195" s="15"/>
      <c r="H195" s="16"/>
      <c r="I195" s="26"/>
    </row>
    <row r="196" spans="1:9">
      <c r="A196" s="31"/>
      <c r="B196" s="15"/>
      <c r="C196" s="15"/>
      <c r="D196" s="15"/>
      <c r="E196" s="15"/>
      <c r="F196" s="15"/>
      <c r="G196" s="15"/>
      <c r="H196" s="16"/>
      <c r="I196" s="26"/>
    </row>
    <row r="197" spans="1:9">
      <c r="A197" s="31"/>
      <c r="B197" s="15"/>
      <c r="C197" s="15"/>
      <c r="D197" s="15"/>
      <c r="E197" s="15"/>
      <c r="F197" s="15"/>
      <c r="G197" s="15"/>
      <c r="H197" s="16"/>
      <c r="I197" s="26"/>
    </row>
    <row r="198" spans="1:9">
      <c r="A198" s="31"/>
      <c r="B198" s="15"/>
      <c r="C198" s="15"/>
      <c r="D198" s="15"/>
      <c r="E198" s="15"/>
      <c r="F198" s="15"/>
      <c r="G198" s="15"/>
      <c r="H198" s="16"/>
      <c r="I198" s="26"/>
    </row>
    <row r="199" spans="1:9">
      <c r="A199" s="31"/>
      <c r="B199" s="15"/>
      <c r="C199" s="15"/>
      <c r="D199" s="15"/>
      <c r="E199" s="15"/>
      <c r="F199" s="15"/>
      <c r="G199" s="15"/>
      <c r="H199" s="16"/>
      <c r="I199" s="26"/>
    </row>
    <row r="200" spans="1:9">
      <c r="A200" s="31"/>
      <c r="B200" s="15"/>
      <c r="C200" s="15"/>
      <c r="D200" s="15"/>
      <c r="E200" s="15"/>
      <c r="F200" s="15"/>
      <c r="G200" s="15"/>
      <c r="H200" s="16"/>
      <c r="I200" s="26"/>
    </row>
    <row r="201" spans="1:9">
      <c r="A201" s="31"/>
      <c r="B201" s="15"/>
      <c r="C201" s="15"/>
      <c r="D201" s="15"/>
      <c r="E201" s="15"/>
      <c r="F201" s="15"/>
      <c r="G201" s="15"/>
      <c r="H201" s="16"/>
      <c r="I201" s="26"/>
    </row>
    <row r="202" spans="1:9">
      <c r="A202" s="31"/>
      <c r="B202" s="15"/>
      <c r="C202" s="15"/>
      <c r="D202" s="15"/>
      <c r="E202" s="15"/>
      <c r="F202" s="15"/>
      <c r="G202" s="15"/>
      <c r="H202" s="16"/>
      <c r="I202" s="26"/>
    </row>
    <row r="203" spans="1:9">
      <c r="A203" s="31"/>
      <c r="B203" s="15"/>
      <c r="C203" s="15"/>
      <c r="D203" s="15"/>
      <c r="E203" s="15"/>
      <c r="F203" s="15"/>
      <c r="G203" s="15"/>
      <c r="H203" s="16"/>
      <c r="I203" s="26"/>
    </row>
    <row r="204" spans="1:9">
      <c r="A204" s="31"/>
      <c r="B204" s="15"/>
      <c r="C204" s="15"/>
      <c r="D204" s="15"/>
      <c r="E204" s="15"/>
      <c r="F204" s="15"/>
      <c r="G204" s="15"/>
      <c r="H204" s="16"/>
      <c r="I204" s="26"/>
    </row>
    <row r="205" spans="1:9">
      <c r="A205" s="31"/>
      <c r="B205" s="15"/>
      <c r="C205" s="15"/>
      <c r="D205" s="15"/>
      <c r="E205" s="15"/>
      <c r="F205" s="15"/>
      <c r="G205" s="15"/>
      <c r="H205" s="16"/>
      <c r="I205" s="26"/>
    </row>
    <row r="206" spans="1:9">
      <c r="A206" s="31"/>
      <c r="B206" s="15"/>
      <c r="C206" s="15"/>
      <c r="D206" s="15"/>
      <c r="E206" s="15"/>
      <c r="F206" s="15"/>
      <c r="G206" s="15"/>
      <c r="H206" s="16"/>
      <c r="I206" s="26"/>
    </row>
    <row r="207" spans="1:9">
      <c r="A207" s="31"/>
      <c r="B207" s="15"/>
      <c r="C207" s="15"/>
      <c r="D207" s="15"/>
      <c r="E207" s="15"/>
      <c r="F207" s="15"/>
      <c r="G207" s="15"/>
      <c r="H207" s="16"/>
      <c r="I207" s="26"/>
    </row>
    <row r="208" spans="1:9">
      <c r="A208" s="31"/>
      <c r="B208" s="15"/>
      <c r="C208" s="15"/>
      <c r="D208" s="15"/>
      <c r="E208" s="15"/>
      <c r="F208" s="15"/>
      <c r="G208" s="15"/>
      <c r="H208" s="16"/>
      <c r="I208" s="26"/>
    </row>
    <row r="209" spans="1:9">
      <c r="A209" s="31"/>
      <c r="B209" s="15"/>
      <c r="C209" s="15"/>
      <c r="D209" s="15"/>
      <c r="E209" s="15"/>
      <c r="F209" s="15"/>
      <c r="G209" s="15"/>
      <c r="H209" s="16"/>
      <c r="I209" s="26"/>
    </row>
    <row r="210" spans="1:9">
      <c r="A210" s="31"/>
      <c r="B210" s="15"/>
      <c r="C210" s="15"/>
      <c r="D210" s="15"/>
      <c r="E210" s="15"/>
      <c r="F210" s="15"/>
      <c r="G210" s="15"/>
      <c r="H210" s="16"/>
      <c r="I210" s="26"/>
    </row>
    <row r="211" spans="1:9">
      <c r="A211" s="31"/>
      <c r="B211" s="15"/>
      <c r="C211" s="15"/>
      <c r="D211" s="15"/>
      <c r="E211" s="15"/>
      <c r="F211" s="15"/>
      <c r="G211" s="15"/>
      <c r="H211" s="16"/>
      <c r="I211" s="26"/>
    </row>
    <row r="212" spans="1:9">
      <c r="A212" s="31"/>
      <c r="B212" s="15"/>
      <c r="C212" s="15"/>
      <c r="D212" s="15"/>
      <c r="E212" s="15"/>
      <c r="F212" s="15"/>
      <c r="G212" s="15"/>
      <c r="H212" s="16"/>
      <c r="I212" s="26"/>
    </row>
    <row r="213" spans="1:9">
      <c r="A213" s="31"/>
      <c r="B213" s="15"/>
      <c r="C213" s="15"/>
      <c r="D213" s="15"/>
      <c r="E213" s="15"/>
      <c r="F213" s="15"/>
      <c r="G213" s="15"/>
      <c r="H213" s="16"/>
      <c r="I213" s="26"/>
    </row>
    <row r="214" spans="1:9">
      <c r="A214" s="31"/>
      <c r="B214" s="15"/>
      <c r="C214" s="15"/>
      <c r="D214" s="15"/>
      <c r="E214" s="15"/>
      <c r="F214" s="15"/>
      <c r="G214" s="15"/>
      <c r="H214" s="16"/>
      <c r="I214" s="26"/>
    </row>
    <row r="215" spans="1:9">
      <c r="A215" s="31"/>
      <c r="B215" s="15"/>
      <c r="C215" s="15"/>
      <c r="D215" s="15"/>
      <c r="E215" s="15"/>
      <c r="F215" s="15"/>
      <c r="G215" s="15"/>
      <c r="H215" s="16"/>
      <c r="I215" s="26"/>
    </row>
    <row r="216" spans="1:9">
      <c r="A216" s="31"/>
      <c r="B216" s="15"/>
      <c r="C216" s="15"/>
      <c r="D216" s="15"/>
      <c r="E216" s="15"/>
      <c r="F216" s="15"/>
      <c r="G216" s="15"/>
      <c r="H216" s="16"/>
      <c r="I216" s="26"/>
    </row>
    <row r="217" spans="1:9">
      <c r="A217" s="31"/>
      <c r="B217" s="15"/>
      <c r="C217" s="15"/>
      <c r="D217" s="15"/>
      <c r="E217" s="15"/>
      <c r="F217" s="15"/>
      <c r="G217" s="15"/>
      <c r="H217" s="16"/>
      <c r="I217" s="26"/>
    </row>
    <row r="218" spans="1:9">
      <c r="A218" s="31"/>
      <c r="B218" s="15"/>
      <c r="C218" s="15"/>
      <c r="D218" s="15"/>
      <c r="E218" s="15"/>
      <c r="F218" s="15"/>
      <c r="G218" s="15"/>
      <c r="H218" s="16"/>
      <c r="I218" s="26"/>
    </row>
    <row r="219" spans="1:9">
      <c r="A219" s="31"/>
      <c r="B219" s="15"/>
      <c r="C219" s="15"/>
      <c r="D219" s="15"/>
      <c r="E219" s="15"/>
      <c r="F219" s="15"/>
      <c r="G219" s="15"/>
      <c r="H219" s="16"/>
      <c r="I219" s="26"/>
    </row>
    <row r="220" spans="1:9">
      <c r="A220" s="31"/>
      <c r="B220" s="15"/>
      <c r="C220" s="15"/>
      <c r="D220" s="15"/>
      <c r="E220" s="15"/>
      <c r="F220" s="15"/>
      <c r="G220" s="15"/>
      <c r="H220" s="16"/>
      <c r="I220" s="26"/>
    </row>
    <row r="221" spans="1:9">
      <c r="A221" s="31"/>
      <c r="B221" s="15"/>
      <c r="C221" s="15"/>
      <c r="D221" s="15"/>
      <c r="E221" s="15"/>
      <c r="F221" s="15"/>
      <c r="G221" s="15"/>
      <c r="H221" s="16"/>
      <c r="I221" s="26"/>
    </row>
    <row r="222" spans="1:9">
      <c r="A222" s="31"/>
      <c r="B222" s="15"/>
      <c r="C222" s="15"/>
      <c r="D222" s="15"/>
      <c r="E222" s="15"/>
      <c r="F222" s="15"/>
      <c r="G222" s="15"/>
      <c r="H222" s="16"/>
      <c r="I222" s="26"/>
    </row>
    <row r="223" spans="1:9">
      <c r="A223" s="31"/>
      <c r="B223" s="15"/>
      <c r="C223" s="15"/>
      <c r="D223" s="15"/>
      <c r="E223" s="15"/>
      <c r="F223" s="15"/>
      <c r="G223" s="15"/>
      <c r="H223" s="16"/>
      <c r="I223" s="26"/>
    </row>
    <row r="224" spans="1:9">
      <c r="A224" s="31"/>
      <c r="B224" s="15"/>
      <c r="C224" s="15"/>
      <c r="D224" s="15"/>
      <c r="E224" s="15"/>
      <c r="F224" s="15"/>
      <c r="G224" s="15"/>
      <c r="H224" s="16"/>
      <c r="I224" s="26"/>
    </row>
    <row r="225" spans="1:9">
      <c r="A225" s="31"/>
      <c r="B225" s="15"/>
      <c r="C225" s="15"/>
      <c r="D225" s="15"/>
      <c r="E225" s="15"/>
      <c r="F225" s="15"/>
      <c r="G225" s="15"/>
      <c r="H225" s="16"/>
      <c r="I225" s="26"/>
    </row>
    <row r="226" spans="1:9">
      <c r="A226" s="31"/>
      <c r="B226" s="15"/>
      <c r="C226" s="15"/>
      <c r="D226" s="15"/>
      <c r="E226" s="15"/>
      <c r="F226" s="15"/>
      <c r="G226" s="15"/>
      <c r="H226" s="16"/>
      <c r="I226" s="26"/>
    </row>
    <row r="227" spans="1:9">
      <c r="A227" s="31"/>
      <c r="B227" s="15"/>
      <c r="C227" s="15"/>
      <c r="D227" s="15"/>
      <c r="E227" s="15"/>
      <c r="F227" s="15"/>
      <c r="G227" s="15"/>
      <c r="H227" s="16"/>
      <c r="I227" s="26"/>
    </row>
    <row r="228" spans="1:9">
      <c r="A228" s="31"/>
      <c r="B228" s="15"/>
      <c r="C228" s="15"/>
      <c r="D228" s="15"/>
      <c r="E228" s="15"/>
      <c r="F228" s="15"/>
      <c r="G228" s="15"/>
      <c r="H228" s="16"/>
      <c r="I228" s="26"/>
    </row>
    <row r="229" spans="1:9">
      <c r="A229" s="31"/>
      <c r="B229" s="15"/>
      <c r="C229" s="15"/>
      <c r="D229" s="15"/>
      <c r="E229" s="15"/>
      <c r="F229" s="15"/>
      <c r="G229" s="15"/>
      <c r="H229" s="16"/>
      <c r="I229" s="26"/>
    </row>
    <row r="230" spans="1:9">
      <c r="A230" s="31"/>
      <c r="B230" s="15"/>
      <c r="C230" s="15"/>
      <c r="D230" s="15"/>
      <c r="E230" s="15"/>
      <c r="F230" s="15"/>
      <c r="G230" s="15"/>
      <c r="H230" s="16"/>
      <c r="I230" s="26"/>
    </row>
    <row r="231" spans="1:9">
      <c r="A231" s="31"/>
      <c r="B231" s="15"/>
      <c r="C231" s="15"/>
      <c r="D231" s="15"/>
      <c r="E231" s="15"/>
      <c r="F231" s="15"/>
      <c r="G231" s="15"/>
      <c r="H231" s="16"/>
      <c r="I231" s="26"/>
    </row>
    <row r="232" spans="1:9">
      <c r="A232" s="31"/>
      <c r="B232" s="15"/>
      <c r="C232" s="15"/>
      <c r="D232" s="15"/>
      <c r="E232" s="15"/>
      <c r="F232" s="15"/>
      <c r="G232" s="15"/>
      <c r="H232" s="16"/>
      <c r="I232" s="26"/>
    </row>
    <row r="233" spans="1:9">
      <c r="A233" s="31"/>
      <c r="B233" s="15"/>
      <c r="C233" s="15"/>
      <c r="D233" s="15"/>
      <c r="E233" s="15"/>
      <c r="F233" s="15"/>
      <c r="G233" s="15"/>
      <c r="H233" s="16"/>
      <c r="I233" s="26"/>
    </row>
    <row r="234" spans="1:9">
      <c r="A234" s="2"/>
    </row>
    <row r="235" spans="1:9">
      <c r="A235" s="2"/>
    </row>
    <row r="236" spans="1:9">
      <c r="A236" s="2"/>
    </row>
    <row r="237" spans="1:9">
      <c r="A237" s="2"/>
    </row>
    <row r="238" spans="1:9">
      <c r="A238" s="2"/>
    </row>
    <row r="239" spans="1:9">
      <c r="A239" s="2"/>
    </row>
    <row r="240" spans="1:9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</sheetData>
  <mergeCells count="1">
    <mergeCell ref="A1:I1"/>
  </mergeCells>
  <dataValidations count="3">
    <dataValidation type="list" allowBlank="1" showErrorMessage="1" sqref="F3:F66" xr:uid="{A3C54AB3-3B37-D342-A541-403CB4961B49}">
      <formula1>"Spent,Committed"</formula1>
    </dataValidation>
    <dataValidation type="list" allowBlank="1" showErrorMessage="1" sqref="E2:E1048576" xr:uid="{CD325ABC-2418-D742-80CD-050D5D83B6CD}">
      <formula1>"UK,IRE,BELUX,NL,ALL, UK &amp; IE"</formula1>
    </dataValidation>
    <dataValidation type="list" allowBlank="1" showInputMessage="1" showErrorMessage="1" sqref="G3:G90" xr:uid="{EEA48CDD-2D2F-EC48-A300-8C9163FAC593}">
      <formula1>"Agency,SMA,Sales,Practice Lead,Marketing"</formula1>
    </dataValidation>
  </dataValidations>
  <pageMargins left="0.7" right="0.7" top="0.75" bottom="0.75" header="0.3" footer="0.3"/>
  <pageSetup paperSize="9" orientation="portrait" horizontalDpi="0" verticalDpi="0"/>
  <headerFooter>
    <oddFooter xml:space="preserve">&amp;L_x000D_&amp;1#&amp;"Aptos"&amp;10&amp;KFF0000 Confidential 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3C3DA64-FF49-4B4A-A13C-19616E649633}">
          <x14:formula1>
            <xm:f>'Annual Budget Overview'!$A$3:$A$12</xm:f>
          </x14:formula1>
          <xm:sqref>C2:C66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3"/>
  <sheetViews>
    <sheetView topLeftCell="A3" workbookViewId="0">
      <selection activeCell="D41" sqref="D41"/>
    </sheetView>
  </sheetViews>
  <sheetFormatPr defaultColWidth="8.85546875" defaultRowHeight="15"/>
  <cols>
    <col min="3" max="3" width="19.7109375" customWidth="1"/>
    <col min="4" max="4" width="27.28515625" customWidth="1"/>
    <col min="5" max="5" width="15" customWidth="1"/>
  </cols>
  <sheetData>
    <row r="2" spans="1:9">
      <c r="D2" t="s">
        <v>91</v>
      </c>
      <c r="G2">
        <f>SUMIF($D$14:$D$57,$D2,$G$14:$G$57)</f>
        <v>10</v>
      </c>
    </row>
    <row r="3" spans="1:9">
      <c r="D3" t="s">
        <v>92</v>
      </c>
      <c r="G3">
        <f t="shared" ref="G3:G7" si="0">SUMIF($D$14:$D$57,$D3,$G$14:$G$57)</f>
        <v>32</v>
      </c>
    </row>
    <row r="4" spans="1:9">
      <c r="D4" t="s">
        <v>10</v>
      </c>
      <c r="G4">
        <f t="shared" si="0"/>
        <v>58</v>
      </c>
    </row>
    <row r="5" spans="1:9">
      <c r="D5" t="s">
        <v>93</v>
      </c>
      <c r="G5">
        <f t="shared" si="0"/>
        <v>30030</v>
      </c>
    </row>
    <row r="6" spans="1:9">
      <c r="D6" t="s">
        <v>13</v>
      </c>
      <c r="G6">
        <f t="shared" si="0"/>
        <v>24</v>
      </c>
    </row>
    <row r="7" spans="1:9">
      <c r="D7" t="s">
        <v>14</v>
      </c>
      <c r="G7">
        <f t="shared" si="0"/>
        <v>27</v>
      </c>
    </row>
    <row r="8" spans="1:9">
      <c r="G8">
        <f>SUM(G2:G7)</f>
        <v>30181</v>
      </c>
    </row>
    <row r="11" spans="1:9">
      <c r="G11">
        <f>SUM(G13:G64)</f>
        <v>30181</v>
      </c>
    </row>
    <row r="12" spans="1:9" s="1" customFormat="1">
      <c r="A12" s="1" t="s">
        <v>23</v>
      </c>
      <c r="B12" s="1" t="s">
        <v>94</v>
      </c>
      <c r="C12" s="1" t="s">
        <v>95</v>
      </c>
      <c r="D12" s="1" t="s">
        <v>1</v>
      </c>
      <c r="E12" s="1" t="s">
        <v>25</v>
      </c>
      <c r="F12" s="1" t="s">
        <v>96</v>
      </c>
      <c r="G12" s="1" t="s">
        <v>97</v>
      </c>
      <c r="H12" s="1" t="s">
        <v>28</v>
      </c>
      <c r="I12" s="1" t="s">
        <v>31</v>
      </c>
    </row>
    <row r="14" spans="1:9">
      <c r="A14" t="s">
        <v>98</v>
      </c>
      <c r="B14" t="s">
        <v>99</v>
      </c>
      <c r="C14" t="s">
        <v>100</v>
      </c>
      <c r="D14" t="s">
        <v>92</v>
      </c>
      <c r="G14">
        <v>5</v>
      </c>
    </row>
    <row r="15" spans="1:9">
      <c r="D15" t="s">
        <v>92</v>
      </c>
      <c r="G15">
        <v>6</v>
      </c>
    </row>
    <row r="16" spans="1:9">
      <c r="D16" t="s">
        <v>10</v>
      </c>
      <c r="G16">
        <v>25</v>
      </c>
    </row>
    <row r="17" spans="4:7">
      <c r="D17" t="s">
        <v>93</v>
      </c>
      <c r="G17">
        <v>30000</v>
      </c>
    </row>
    <row r="18" spans="4:7">
      <c r="D18" t="s">
        <v>13</v>
      </c>
      <c r="G18">
        <v>8</v>
      </c>
    </row>
    <row r="19" spans="4:7">
      <c r="D19" t="s">
        <v>14</v>
      </c>
      <c r="G19">
        <v>9</v>
      </c>
    </row>
    <row r="20" spans="4:7">
      <c r="D20" t="s">
        <v>92</v>
      </c>
      <c r="G20">
        <v>3</v>
      </c>
    </row>
    <row r="21" spans="4:7">
      <c r="D21" t="s">
        <v>10</v>
      </c>
      <c r="G21">
        <v>4</v>
      </c>
    </row>
    <row r="22" spans="4:7">
      <c r="D22" t="s">
        <v>10</v>
      </c>
      <c r="G22">
        <v>5</v>
      </c>
    </row>
    <row r="23" spans="4:7">
      <c r="D23" t="s">
        <v>93</v>
      </c>
      <c r="G23">
        <v>6</v>
      </c>
    </row>
    <row r="24" spans="4:7">
      <c r="D24" t="s">
        <v>91</v>
      </c>
      <c r="G24">
        <v>5</v>
      </c>
    </row>
    <row r="25" spans="4:7">
      <c r="D25" t="s">
        <v>92</v>
      </c>
      <c r="G25">
        <v>6</v>
      </c>
    </row>
    <row r="26" spans="4:7">
      <c r="D26" t="s">
        <v>10</v>
      </c>
      <c r="G26">
        <v>3</v>
      </c>
    </row>
    <row r="27" spans="4:7">
      <c r="D27" t="s">
        <v>93</v>
      </c>
      <c r="G27">
        <v>6</v>
      </c>
    </row>
    <row r="28" spans="4:7">
      <c r="D28" t="s">
        <v>13</v>
      </c>
      <c r="G28">
        <v>8</v>
      </c>
    </row>
    <row r="29" spans="4:7">
      <c r="D29" t="s">
        <v>14</v>
      </c>
      <c r="G29">
        <v>9</v>
      </c>
    </row>
    <row r="30" spans="4:7">
      <c r="D30" t="s">
        <v>92</v>
      </c>
      <c r="G30">
        <v>3</v>
      </c>
    </row>
    <row r="31" spans="4:7">
      <c r="D31" t="s">
        <v>10</v>
      </c>
      <c r="G31">
        <v>4</v>
      </c>
    </row>
    <row r="32" spans="4:7">
      <c r="D32" t="s">
        <v>10</v>
      </c>
      <c r="G32">
        <v>5</v>
      </c>
    </row>
    <row r="33" spans="4:7">
      <c r="D33" t="s">
        <v>93</v>
      </c>
      <c r="G33">
        <v>6</v>
      </c>
    </row>
    <row r="34" spans="4:7">
      <c r="D34" t="s">
        <v>91</v>
      </c>
      <c r="G34">
        <v>5</v>
      </c>
    </row>
    <row r="35" spans="4:7">
      <c r="D35" t="s">
        <v>92</v>
      </c>
      <c r="G35">
        <v>6</v>
      </c>
    </row>
    <row r="36" spans="4:7">
      <c r="D36" t="s">
        <v>10</v>
      </c>
      <c r="G36">
        <v>3</v>
      </c>
    </row>
    <row r="37" spans="4:7">
      <c r="D37" t="s">
        <v>93</v>
      </c>
      <c r="G37">
        <v>6</v>
      </c>
    </row>
    <row r="38" spans="4:7">
      <c r="D38" t="s">
        <v>13</v>
      </c>
      <c r="G38">
        <v>8</v>
      </c>
    </row>
    <row r="39" spans="4:7">
      <c r="D39" t="s">
        <v>14</v>
      </c>
      <c r="G39">
        <v>9</v>
      </c>
    </row>
    <row r="40" spans="4:7">
      <c r="D40" t="s">
        <v>92</v>
      </c>
      <c r="G40">
        <v>3</v>
      </c>
    </row>
    <row r="41" spans="4:7">
      <c r="D41" t="s">
        <v>10</v>
      </c>
      <c r="G41">
        <v>4</v>
      </c>
    </row>
    <row r="42" spans="4:7">
      <c r="D42" t="s">
        <v>10</v>
      </c>
      <c r="G42">
        <v>5</v>
      </c>
    </row>
    <row r="43" spans="4:7">
      <c r="D43" t="s">
        <v>93</v>
      </c>
      <c r="G43">
        <v>6</v>
      </c>
    </row>
  </sheetData>
  <dataValidations count="1">
    <dataValidation type="list" allowBlank="1" showInputMessage="1" showErrorMessage="1" sqref="D14:D43" xr:uid="{24032637-74BA-4045-AF07-DE79B4B18712}">
      <formula1>$D$2:$D$7</formula1>
    </dataValidation>
  </dataValidations>
  <pageMargins left="0.75" right="0.75" top="1" bottom="1" header="0.5" footer="0.5"/>
  <headerFooter>
    <oddFooter xml:space="preserve">&amp;L_x000D_&amp;1#&amp;"Aptos"&amp;10&amp;KFF0000 Confidential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A4B21B21B24C43BD0B19585C170FC4" ma:contentTypeVersion="21" ma:contentTypeDescription="Create a new document." ma:contentTypeScope="" ma:versionID="b001fdf35ce64bd6c6a3a2de41bf8046">
  <xsd:schema xmlns:xsd="http://www.w3.org/2001/XMLSchema" xmlns:xs="http://www.w3.org/2001/XMLSchema" xmlns:p="http://schemas.microsoft.com/office/2006/metadata/properties" xmlns:ns1="http://schemas.microsoft.com/sharepoint/v3" xmlns:ns2="9abb288c-d7fc-4f97-bdaa-867936192a5a" xmlns:ns3="48763ee6-9171-4045-8717-c015c24680c0" targetNamespace="http://schemas.microsoft.com/office/2006/metadata/properties" ma:root="true" ma:fieldsID="8af15f6e2e656f26d99187ae32504f92" ns1:_="" ns2:_="" ns3:_="">
    <xsd:import namespace="http://schemas.microsoft.com/sharepoint/v3"/>
    <xsd:import namespace="9abb288c-d7fc-4f97-bdaa-867936192a5a"/>
    <xsd:import namespace="48763ee6-9171-4045-8717-c015c24680c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b288c-d7fc-4f97-bdaa-867936192a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98ed0f2-e133-42b7-9735-f3c4681ef579}" ma:internalName="TaxCatchAll" ma:showField="CatchAllData" ma:web="9abb288c-d7fc-4f97-bdaa-867936192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63ee6-9171-4045-8717-c015c2468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d9c239f-b277-473a-afe5-c4ea76df5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763ee6-9171-4045-8717-c015c24680c0">
      <Terms xmlns="http://schemas.microsoft.com/office/infopath/2007/PartnerControls"/>
    </lcf76f155ced4ddcb4097134ff3c332f>
    <TaxCatchAll xmlns="9abb288c-d7fc-4f97-bdaa-867936192a5a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31917E-CB51-43C8-9A5B-F4772533B2B9}"/>
</file>

<file path=customXml/itemProps2.xml><?xml version="1.0" encoding="utf-8"?>
<ds:datastoreItem xmlns:ds="http://schemas.openxmlformats.org/officeDocument/2006/customXml" ds:itemID="{8F399F21-0827-4989-84FF-9A3F06917BFD}"/>
</file>

<file path=customXml/itemProps3.xml><?xml version="1.0" encoding="utf-8"?>
<ds:datastoreItem xmlns:ds="http://schemas.openxmlformats.org/officeDocument/2006/customXml" ds:itemID="{AB57C4B3-2F26-4C33-A6CF-0CFC542E4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2026-04-01T14:43:55Z</dcterms:created>
  <dcterms:modified xsi:type="dcterms:W3CDTF">2026-06-12T08:13:18Z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d60d3a-f88d-45f5-a904-6e93ccbf945d_Enabled">
    <vt:lpwstr>true</vt:lpwstr>
  </property>
  <property fmtid="{D5CDD505-2E9C-101B-9397-08002B2CF9AE}" pid="3" name="MSIP_Label_71d60d3a-f88d-45f5-a904-6e93ccbf945d_SetDate">
    <vt:lpwstr>2026-04-30T06:44:24Z</vt:lpwstr>
  </property>
  <property fmtid="{D5CDD505-2E9C-101B-9397-08002B2CF9AE}" pid="4" name="MSIP_Label_71d60d3a-f88d-45f5-a904-6e93ccbf945d_Method">
    <vt:lpwstr>Privileged</vt:lpwstr>
  </property>
  <property fmtid="{D5CDD505-2E9C-101B-9397-08002B2CF9AE}" pid="5" name="MSIP_Label_71d60d3a-f88d-45f5-a904-6e93ccbf945d_Name">
    <vt:lpwstr>Confidential</vt:lpwstr>
  </property>
  <property fmtid="{D5CDD505-2E9C-101B-9397-08002B2CF9AE}" pid="6" name="MSIP_Label_71d60d3a-f88d-45f5-a904-6e93ccbf945d_SiteId">
    <vt:lpwstr>081cc50b-e5a5-4e76-b6b7-d7c274899193</vt:lpwstr>
  </property>
  <property fmtid="{D5CDD505-2E9C-101B-9397-08002B2CF9AE}" pid="7" name="MSIP_Label_71d60d3a-f88d-45f5-a904-6e93ccbf945d_ActionId">
    <vt:lpwstr>d3630140-1800-4773-88f9-a2a5ee78ae2a</vt:lpwstr>
  </property>
  <property fmtid="{D5CDD505-2E9C-101B-9397-08002B2CF9AE}" pid="8" name="MSIP_Label_71d60d3a-f88d-45f5-a904-6e93ccbf945d_ContentBits">
    <vt:lpwstr>2</vt:lpwstr>
  </property>
  <property fmtid="{D5CDD505-2E9C-101B-9397-08002B2CF9AE}" pid="9" name="MSIP_Label_71d60d3a-f88d-45f5-a904-6e93ccbf945d_Tag">
    <vt:lpwstr>50, 0, 1, 1</vt:lpwstr>
  </property>
  <property fmtid="{D5CDD505-2E9C-101B-9397-08002B2CF9AE}" pid="10" name="ContentTypeId">
    <vt:lpwstr>0x0101008AA4B21B21B24C43BD0B19585C170FC4</vt:lpwstr>
  </property>
  <property fmtid="{D5CDD505-2E9C-101B-9397-08002B2CF9AE}" pid="11" name="MediaServiceImageTags">
    <vt:lpwstr/>
  </property>
</Properties>
</file>